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a13b15e939eee1/Documents/School/2 Fall Semester 2020/FA20 Elementary Computational Methods/Individual Project/"/>
    </mc:Choice>
  </mc:AlternateContent>
  <xr:revisionPtr revIDLastSave="686" documentId="8_{D9E73753-93C0-450A-892D-4D9122C5FFB9}" xr6:coauthVersionLast="45" xr6:coauthVersionMax="45" xr10:uidLastSave="{068C5D33-222B-4D64-9828-4E87D50CF5B9}"/>
  <bookViews>
    <workbookView xWindow="-120" yWindow="-120" windowWidth="29040" windowHeight="15840" tabRatio="839" xr2:uid="{247E09AE-2CC6-4872-83FB-44D164822C89}"/>
  </bookViews>
  <sheets>
    <sheet name="Intro Sheet" sheetId="1" r:id="rId1"/>
    <sheet name="Q4_Quad_Roots" sheetId="26" r:id="rId2"/>
    <sheet name="Q5a_Simp_Rule_Sheet" sheetId="27" r:id="rId3"/>
    <sheet name="Q5b_Simp_Rule_VBA" sheetId="28" r:id="rId4"/>
    <sheet name="Q6_Simp_Rule_UDI" sheetId="29" r:id="rId5"/>
    <sheet name="Macro Dump" sheetId="12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6" i="27" l="1"/>
  <c r="C42" i="27" l="1"/>
  <c r="D42" i="27" s="1"/>
  <c r="F42" i="27" s="1"/>
  <c r="C41" i="27"/>
  <c r="D41" i="27" s="1"/>
  <c r="F41" i="27" s="1"/>
  <c r="C35" i="27"/>
  <c r="D35" i="27" s="1"/>
  <c r="F35" i="27" s="1"/>
  <c r="C34" i="27"/>
  <c r="D34" i="27" s="1"/>
  <c r="F34" i="27" s="1"/>
  <c r="C29" i="27"/>
  <c r="D29" i="27" s="1"/>
  <c r="F29" i="27" s="1"/>
  <c r="C26" i="27"/>
  <c r="D26" i="27" s="1"/>
  <c r="F26" i="27" s="1"/>
  <c r="C27" i="27"/>
  <c r="D27" i="27" s="1"/>
  <c r="F27" i="27" s="1"/>
  <c r="C28" i="27"/>
  <c r="D28" i="27" s="1"/>
  <c r="F28" i="27" s="1"/>
  <c r="C22" i="27"/>
  <c r="D22" i="27" s="1"/>
  <c r="F22" i="27" s="1"/>
  <c r="C23" i="27"/>
  <c r="D23" i="27" s="1"/>
  <c r="F23" i="27" s="1"/>
  <c r="E18" i="27"/>
  <c r="C40" i="27" s="1"/>
  <c r="D40" i="27" s="1"/>
  <c r="F40" i="27" s="1"/>
  <c r="C37" i="27" l="1"/>
  <c r="D37" i="27" s="1"/>
  <c r="F37" i="27" s="1"/>
  <c r="C36" i="27"/>
  <c r="D36" i="27" s="1"/>
  <c r="F36" i="27" s="1"/>
  <c r="G34" i="27" s="1"/>
  <c r="G44" i="27" s="1"/>
  <c r="C38" i="27"/>
  <c r="D38" i="27" s="1"/>
  <c r="F38" i="27" s="1"/>
  <c r="G38" i="27" s="1"/>
  <c r="C25" i="27"/>
  <c r="D25" i="27" s="1"/>
  <c r="F25" i="27" s="1"/>
  <c r="C39" i="27"/>
  <c r="D39" i="27" s="1"/>
  <c r="F39" i="27" s="1"/>
  <c r="C21" i="27"/>
  <c r="D21" i="27" s="1"/>
  <c r="F21" i="27" s="1"/>
  <c r="C24" i="27"/>
  <c r="D24" i="27" s="1"/>
  <c r="F24" i="27" s="1"/>
  <c r="G21" i="27" l="1"/>
  <c r="G31" i="27" s="1"/>
</calcChain>
</file>

<file path=xl/sharedStrings.xml><?xml version="1.0" encoding="utf-8"?>
<sst xmlns="http://schemas.openxmlformats.org/spreadsheetml/2006/main" count="464" uniqueCount="315">
  <si>
    <t>Student</t>
  </si>
  <si>
    <t>Stefan Cline</t>
  </si>
  <si>
    <t>Course</t>
  </si>
  <si>
    <t>Math 371 Elementary Computational Methods</t>
  </si>
  <si>
    <t xml:space="preserve">Module </t>
  </si>
  <si>
    <t xml:space="preserve">Homework </t>
  </si>
  <si>
    <t>Contents (per sheet)</t>
  </si>
  <si>
    <t xml:space="preserve"> </t>
  </si>
  <si>
    <t>*Note: MacroDump sheet is the last sheet in the event something causes the macros not to work. All fully written programs can be viewed there in plain text</t>
  </si>
  <si>
    <t>a=</t>
  </si>
  <si>
    <t>b=</t>
  </si>
  <si>
    <t>c=</t>
  </si>
  <si>
    <t>Macro Dump Page</t>
  </si>
  <si>
    <t>User Instructions</t>
  </si>
  <si>
    <t xml:space="preserve">Solution: </t>
  </si>
  <si>
    <t>Values</t>
  </si>
  <si>
    <t>IP Questions</t>
  </si>
  <si>
    <t>#4 Quadradic Roots</t>
  </si>
  <si>
    <t>#5 Simpson's Rule</t>
  </si>
  <si>
    <t>a) Excel Sheet for Simpson's Rule</t>
  </si>
  <si>
    <t>b) VBA For Simpson's Rule</t>
  </si>
  <si>
    <t>Individual Project</t>
  </si>
  <si>
    <t>Due Oct 18th</t>
  </si>
  <si>
    <t>Question 4: Write a program to input the coefficients of a quadradic equation and solve roots for all cases (including complex roots)</t>
  </si>
  <si>
    <t>VBA</t>
  </si>
  <si>
    <t xml:space="preserve">This program will take in any values for a, b and c from this equation format: </t>
  </si>
  <si>
    <t xml:space="preserve">and produce it's roots. This will work for both real and complex roots. </t>
  </si>
  <si>
    <t>1. Press the macro button below to run the program</t>
  </si>
  <si>
    <t>2. input your values for a, b, and c</t>
  </si>
  <si>
    <t>3. The answers will be output in the applicable cells (as well as the user's inputs)</t>
  </si>
  <si>
    <t>User Inputs</t>
  </si>
  <si>
    <t>Roots</t>
  </si>
  <si>
    <t>Public Sub Q4_Quad_Roots()</t>
  </si>
  <si>
    <t>Rem This program will take in the user inputs for the equation ax^2+bx+c=0 and</t>
  </si>
  <si>
    <t>' give the appropriate roots as answers. This program will handle both real and</t>
  </si>
  <si>
    <t>' complex root types.</t>
  </si>
  <si>
    <t>Rem We'll now define our variables and request them from the user. Then output them</t>
  </si>
  <si>
    <t>' to the correct cells in the sheet</t>
  </si>
  <si>
    <t>' Also we'll go ahead and define our user type as Complex, and make two variables</t>
  </si>
  <si>
    <t>' for later use</t>
  </si>
  <si>
    <t>Dim a, b, c, x_1, x_2, det As Double</t>
  </si>
  <si>
    <t>Dim C1, C2 As Complex</t>
  </si>
  <si>
    <t>a = InputBox("Input value for a: ")</t>
  </si>
  <si>
    <t>b = InputBox("Input value for b: ")</t>
  </si>
  <si>
    <t>c = InputBox("Input value for c: ")</t>
  </si>
  <si>
    <t>MsgBox "a= " &amp; a &amp; ", b= " &amp; b &amp; ", and c= " &amp; c</t>
  </si>
  <si>
    <t>Cells(13, "C") = a</t>
  </si>
  <si>
    <t>Cells(14, "C") = b</t>
  </si>
  <si>
    <t>Cells(15, "C") = c</t>
  </si>
  <si>
    <t>Rem Now we'll go about determining if there are 1 or 2 roots and what type they are</t>
  </si>
  <si>
    <t>' this wil be done by evaluating the value of the determinant</t>
  </si>
  <si>
    <t>det = (b ^ 2) - (4 * a * c)</t>
  </si>
  <si>
    <t>Rem After we know what the determinant is, we can go about writing out our different</t>
  </si>
  <si>
    <t>' conditions for our if statements, based on it being 0, less than or greater than 0</t>
  </si>
  <si>
    <t>' The last section is where we'll use our user defined types</t>
  </si>
  <si>
    <t>If det = 0 Then</t>
  </si>
  <si>
    <t xml:space="preserve">    MsgBox "There is only one root"</t>
  </si>
  <si>
    <t xml:space="preserve">    Cells(18, "B") = "1 Real Root"</t>
  </si>
  <si>
    <t xml:space="preserve">    Cells(18, "C") = "1 Real"</t>
  </si>
  <si>
    <t xml:space="preserve">    x_1 = -1 * b / (2 * a)</t>
  </si>
  <si>
    <t xml:space="preserve">    Cells(19, "B") = "Root 1="</t>
  </si>
  <si>
    <t xml:space="preserve">    Cells(19, "C") = x_1</t>
  </si>
  <si>
    <t>End If</t>
  </si>
  <si>
    <t>If det &gt; 0 Then</t>
  </si>
  <si>
    <t xml:space="preserve">    MsgBox "There are two real roots"</t>
  </si>
  <si>
    <t xml:space="preserve">    Cells(18, "B") = "2 Real Roots"</t>
  </si>
  <si>
    <t xml:space="preserve">    Cells(18, "C") = "2 Real"</t>
  </si>
  <si>
    <t xml:space="preserve">    x_1 = ((-1 * b) + sqt(det)) / (2 * a)</t>
  </si>
  <si>
    <t xml:space="preserve">    x_2 = ((-1 * b) - sqt(det)) / (2 * a)</t>
  </si>
  <si>
    <t xml:space="preserve">    Cells(20, "B") = "Root 2="</t>
  </si>
  <si>
    <t xml:space="preserve">    Cells(20, "C") = x_2</t>
  </si>
  <si>
    <t>If det &lt; 0 Then</t>
  </si>
  <si>
    <t xml:space="preserve">    MsgBox "There are two complex roots"</t>
  </si>
  <si>
    <t xml:space="preserve">    Cells(18, "B") = "2 Complex Roots"</t>
  </si>
  <si>
    <t xml:space="preserve">    Cells(18, "C") = "2 Complex"</t>
  </si>
  <si>
    <t xml:space="preserve">    det = sqt(-1 * det)</t>
  </si>
  <si>
    <t xml:space="preserve">    C1.real = (-1 * b) / (2 * a)</t>
  </si>
  <si>
    <t xml:space="preserve">    C1.imag = det / (2 * a)</t>
  </si>
  <si>
    <t xml:space="preserve">    Cells(19, "C") = C1.real &amp; "+" &amp; C1.imag &amp; "i"</t>
  </si>
  <si>
    <t xml:space="preserve">    C2.real = (-1 * b) / (2 * a)</t>
  </si>
  <si>
    <t xml:space="preserve">    C2.imag = det / (2 * a)</t>
  </si>
  <si>
    <t xml:space="preserve">    Cells(20, "C") = C2.real &amp; "-" &amp; C2.imag &amp; "i"</t>
  </si>
  <si>
    <t>End Sub</t>
  </si>
  <si>
    <t>2 Complex Roots</t>
  </si>
  <si>
    <t>2 Complex</t>
  </si>
  <si>
    <t>Root 1=</t>
  </si>
  <si>
    <t>Root 2=</t>
  </si>
  <si>
    <t>-1i</t>
  </si>
  <si>
    <t>1 Real Root</t>
  </si>
  <si>
    <t>1 Real</t>
  </si>
  <si>
    <t>2 Real Roots</t>
  </si>
  <si>
    <t>2 Real</t>
  </si>
  <si>
    <t>+1i</t>
  </si>
  <si>
    <t>0.166666666666667+2.57660413895672i</t>
  </si>
  <si>
    <t>0.166666666666667-2.57660413895672i</t>
  </si>
  <si>
    <t>*Examples of the program being run</t>
  </si>
  <si>
    <t xml:space="preserve">Question 5a. </t>
  </si>
  <si>
    <t xml:space="preserve">Consider the following integral </t>
  </si>
  <si>
    <t xml:space="preserve">a. Evaluate the integral using Simpson's rule with n=7 </t>
  </si>
  <si>
    <t xml:space="preserve">Excel </t>
  </si>
  <si>
    <t xml:space="preserve">We need to be able to calculate this using the 1/3 rule and the 3/8 rule because n is odd and not a multiple of three. </t>
  </si>
  <si>
    <t xml:space="preserve">We'll develop two tables, to calculate the integral doing 1/3 first then 3/8 second, and likewise the otherway around. </t>
  </si>
  <si>
    <t>1/3 Rule</t>
  </si>
  <si>
    <t>3/8 Rule</t>
  </si>
  <si>
    <t>Factor</t>
  </si>
  <si>
    <t>n=</t>
  </si>
  <si>
    <t>Initial Given Values</t>
  </si>
  <si>
    <t>Rule</t>
  </si>
  <si>
    <t>3/8</t>
  </si>
  <si>
    <t>1/3</t>
  </si>
  <si>
    <t xml:space="preserve">Overall Approximation: </t>
  </si>
  <si>
    <t>Using either method first puts us within about .01 even when only using n=7</t>
  </si>
  <si>
    <t>As requested we've calculated the integral using Simpson's Rule</t>
  </si>
  <si>
    <t>Question 5b</t>
  </si>
  <si>
    <t xml:space="preserve">Create a VBA program to evaluate the integral using Simpon's rule with n=7. </t>
  </si>
  <si>
    <t>Solution</t>
  </si>
  <si>
    <t>Consider the following integral</t>
  </si>
  <si>
    <t>1. Press the macro button below</t>
  </si>
  <si>
    <t>2. The program will execute and output the results in the applicable cells</t>
  </si>
  <si>
    <t>The first method is likely the more accurate one as the 3/8 rule is approximating a cubic function later on when the curve becomes increasingly more steep</t>
  </si>
  <si>
    <t>This program will calculate the specified integral for n=7 using Simpson's Rule doing the 1/3 rule first and 3/8 rule second</t>
  </si>
  <si>
    <t xml:space="preserve">*Result after executing the macro </t>
  </si>
  <si>
    <t>Public Sub Q5b_Simp_Rule_VBA()</t>
  </si>
  <si>
    <t>Rem This program will calculate the area under the curve x^2*ln(x) on the interval</t>
  </si>
  <si>
    <t>' from 1 to 8. All values are predetermined and therefore there is no user input</t>
  </si>
  <si>
    <t>' required. The program will first compute the integral using the 1/3 Rule then</t>
  </si>
  <si>
    <t>' move on to compute the last section using the 3/8 rule.</t>
  </si>
  <si>
    <t>Rem First we'll define our variables</t>
  </si>
  <si>
    <t>Dim a, b, del_x, aidx, term, sum, sum13, sum38 As Double</t>
  </si>
  <si>
    <t>Dim n, i As Integer</t>
  </si>
  <si>
    <t>Rem Now we'll assign and use our initial values to calcualte delta x, and output those</t>
  </si>
  <si>
    <t>' values to the sheet</t>
  </si>
  <si>
    <t>a = 1</t>
  </si>
  <si>
    <t>b = 8</t>
  </si>
  <si>
    <t>n = 7</t>
  </si>
  <si>
    <t>del_x = (8 - 1) / 7</t>
  </si>
  <si>
    <t>Cells(13, "E") = a</t>
  </si>
  <si>
    <t>Cells(14, "E") = b</t>
  </si>
  <si>
    <t>Cells(15, "E") = n</t>
  </si>
  <si>
    <t>Cells(16, "E") = del_x</t>
  </si>
  <si>
    <t>Rem We'll now calculate the 1/3 rule</t>
  </si>
  <si>
    <t>' Setting i = 0 so we have a starting point with our (a+i*del_x) terms</t>
  </si>
  <si>
    <t>' We'll also output each iterative step to the spreadsheet</t>
  </si>
  <si>
    <t>' Note: sum13=0 to give us a starting point for our sum values of the 1/3 rule</t>
  </si>
  <si>
    <t>' Note: after all of the calculations are complete we'll make the sum38 value</t>
  </si>
  <si>
    <t>'       equal to it times 3/8*delx</t>
  </si>
  <si>
    <t>i = 0</t>
  </si>
  <si>
    <t>sum13 = 0</t>
  </si>
  <si>
    <t>Do While i &lt; 5</t>
  </si>
  <si>
    <t xml:space="preserve">    aidx = a + (i * del_x)</t>
  </si>
  <si>
    <t xml:space="preserve">    term = (aidx ^ 2) * (Application.WorksheetFunction.Ln(aidx))</t>
  </si>
  <si>
    <t xml:space="preserve">    If i = 0 Or i = 4 Then</t>
  </si>
  <si>
    <t xml:space="preserve">            sum13 = sum13 + term</t>
  </si>
  <si>
    <t xml:space="preserve">            Cells(18 + i, "F") = 1</t>
  </si>
  <si>
    <t xml:space="preserve">            Cells(18 + i, "G") = term</t>
  </si>
  <si>
    <t xml:space="preserve">        ElseIf i = 1 Or i = 3 Then</t>
  </si>
  <si>
    <t xml:space="preserve">            sum13 = sum13 + (4 * term)</t>
  </si>
  <si>
    <t xml:space="preserve">            Cells(18 + i, "F") = 4</t>
  </si>
  <si>
    <t xml:space="preserve">            Cells(18 + i, "G") = 4 * term</t>
  </si>
  <si>
    <t xml:space="preserve">        Else</t>
  </si>
  <si>
    <t xml:space="preserve">            sum13 = sum13 + (2 * term)</t>
  </si>
  <si>
    <t xml:space="preserve">            Cells(18 + i, "F") = 2</t>
  </si>
  <si>
    <t xml:space="preserve">            Cells(18 + i, "G") = 2 * term</t>
  </si>
  <si>
    <t xml:space="preserve">    End If</t>
  </si>
  <si>
    <t xml:space="preserve">    Cells(18 + i, "B") = "1/3"</t>
  </si>
  <si>
    <t xml:space="preserve">    Cells(18 + i, "D") = aidx</t>
  </si>
  <si>
    <t xml:space="preserve">    Cells(18 + i, "E") = term</t>
  </si>
  <si>
    <t xml:space="preserve">    Cells(18 + i, "C") = i</t>
  </si>
  <si>
    <t xml:space="preserve">    i = i + 1</t>
  </si>
  <si>
    <t>Loop</t>
  </si>
  <si>
    <t>Cells(18, "H") = del_x / 3 * sum13</t>
  </si>
  <si>
    <t>sum13 = Cells(18, "H")</t>
  </si>
  <si>
    <t>Rem Now we'll do the portion for the 3/8 rule</t>
  </si>
  <si>
    <t>' Note: first we'll subtract one from i becuase it needs to be run again</t>
  </si>
  <si>
    <t>'       (this should put it back down to 4 as opposed to being 5)</t>
  </si>
  <si>
    <t>' Note: sum38=0 to give us a starting point for our sum values of the 3/8 rule</t>
  </si>
  <si>
    <t>i = i - 1</t>
  </si>
  <si>
    <t>sum38 = 0</t>
  </si>
  <si>
    <t>Do While i &lt; 8</t>
  </si>
  <si>
    <t xml:space="preserve">    If i = 4 Or i = 7 Then</t>
  </si>
  <si>
    <t xml:space="preserve">            sum38 = sum38 + term</t>
  </si>
  <si>
    <t xml:space="preserve">            Cells(18 + i + 1, "F") = 1</t>
  </si>
  <si>
    <t xml:space="preserve">            Cells(18 + i + 1, "G") = term</t>
  </si>
  <si>
    <t xml:space="preserve">            sum38 = sum38 + (3 * term)</t>
  </si>
  <si>
    <t xml:space="preserve">            Cells(18 + i + 1, "F") = 3</t>
  </si>
  <si>
    <t xml:space="preserve">            Cells(18 + i + 1, "G") = 3 * term</t>
  </si>
  <si>
    <t xml:space="preserve">    Cells(18 + i + 1, "B") = "3/8"</t>
  </si>
  <si>
    <t xml:space="preserve">    Cells(18 + i + 1, "D") = aidx</t>
  </si>
  <si>
    <t xml:space="preserve">    Cells(18 + i + 1, "E") = term</t>
  </si>
  <si>
    <t xml:space="preserve">    Cells(18 + i + 1, "C") = i</t>
  </si>
  <si>
    <t>Cells(23, "H") = 3 * del_x / 8 * sum38</t>
  </si>
  <si>
    <t>sum38 = Cells(23, "H")</t>
  </si>
  <si>
    <t>Rem Now we'll complete the entire integral by adding the constituent parts</t>
  </si>
  <si>
    <t>' together. This should be as simple as sum13 + sum38. We will lastly</t>
  </si>
  <si>
    <t>' output this approximation to the user</t>
  </si>
  <si>
    <t>sum = sum13 + sum38</t>
  </si>
  <si>
    <t>MsgBox "The Overall Approximation for n=7 is: " &amp; sum</t>
  </si>
  <si>
    <t>Cells(28, "H") = sum</t>
  </si>
  <si>
    <t>Rem End of program</t>
  </si>
  <si>
    <t>Question 6</t>
  </si>
  <si>
    <t>Write a VBA program that accepts user input for a, b and n and outputs the approximation of the interval using Simpson's Rule. (VBA)</t>
  </si>
  <si>
    <t xml:space="preserve">Hint: your program must consider if n is even or odd. Use if/else statemt for each case. To dtermine if n is even you can use n mod 2 = 0 as all even numbers are equivalent to this. </t>
  </si>
  <si>
    <t>Overall Approximation=</t>
  </si>
  <si>
    <t xml:space="preserve">This program will compute an approximation of the above listed integral using Simpson's Rule </t>
  </si>
  <si>
    <t>1. Press the macro button</t>
  </si>
  <si>
    <t>3. The program will calculate the approximation for you</t>
  </si>
  <si>
    <t>2. Enter your desired values for a, b, and n (note that a &lt; b, and n &gt; 1)</t>
  </si>
  <si>
    <t>4. Note that if you enter an odd value for n the first section of the integral will be calculated using the 1/3rd rule and the last 3 intervals done with the 3/8ths rule,</t>
  </si>
  <si>
    <t xml:space="preserve"> otherwise if it is even it will all be calculated using the 1/3 rule</t>
  </si>
  <si>
    <t>#6 Simpson's Rule (User Defined Input)</t>
  </si>
  <si>
    <t>*Test run after inputting the values from the previous section</t>
  </si>
  <si>
    <t>Public Sub Q6_Simps_Rule_UDI()</t>
  </si>
  <si>
    <t>Rem This program will calculate the area under the curve for the function f(x)=x^2*ln(x)</t>
  </si>
  <si>
    <t>' If the number of intervals is even, then it will use only the 1/3 rule, if the value of</t>
  </si>
  <si>
    <t>' n is odd, then it will use a combination of 1/3 and 3/8 rules</t>
  </si>
  <si>
    <t>' The values a, b and n are all given by the user</t>
  </si>
  <si>
    <t>Dim i, n As Integer</t>
  </si>
  <si>
    <t>Dim a, b, del_x, sum, sum13, sum38, aidx, term As Double</t>
  </si>
  <si>
    <t>Rem We'll now request the values from the user. If they give values that aren't valid we'll</t>
  </si>
  <si>
    <t>' request that they re-enter them. Also we'll calculate delta x and output it to the sheet</t>
  </si>
  <si>
    <t>' along with the other initial input values</t>
  </si>
  <si>
    <t>a = InputBox("Enter your desired value for a:")</t>
  </si>
  <si>
    <t>b = InputBox("Enter your desired value for b:")</t>
  </si>
  <si>
    <t>Do While i = 0</t>
  </si>
  <si>
    <t xml:space="preserve">    If a &lt; b Then</t>
  </si>
  <si>
    <t xml:space="preserve">        If a &gt; 0 Then</t>
  </si>
  <si>
    <t xml:space="preserve">            i = i + 1</t>
  </si>
  <si>
    <t xml:space="preserve">            MsgBox "a must be greater than zero (the function is undefined at values at and less than zero)"</t>
  </si>
  <si>
    <t xml:space="preserve">            MsgBox "Please Re-Enter values for a and b. Note a &lt; b"</t>
  </si>
  <si>
    <t xml:space="preserve">            a = InputBox("Enter your desired value for a:")</t>
  </si>
  <si>
    <t xml:space="preserve">            b = InputBox("Enter your desired value for b:")</t>
  </si>
  <si>
    <t xml:space="preserve">        End If</t>
  </si>
  <si>
    <t xml:space="preserve">    Else</t>
  </si>
  <si>
    <t xml:space="preserve">        MsgBox "Please Re-Enter values for a and b. Note a &lt; b"</t>
  </si>
  <si>
    <t xml:space="preserve">        a = InputBox("Enter your desired value for a:")</t>
  </si>
  <si>
    <t xml:space="preserve">        b = InputBox("Enter your desired value for b:")</t>
  </si>
  <si>
    <t>n = InputBox("Enter your desired value for n: ")</t>
  </si>
  <si>
    <t xml:space="preserve">    If n &gt; 1 Then</t>
  </si>
  <si>
    <t xml:space="preserve">        MsgBox "n must be greater than 1"</t>
  </si>
  <si>
    <t xml:space="preserve">        n = InputBox("Enter your desired value for n")</t>
  </si>
  <si>
    <t>Cells(17, "E") = a</t>
  </si>
  <si>
    <t>Cells(18, "E") = b</t>
  </si>
  <si>
    <t>Cells(19, "E") = n</t>
  </si>
  <si>
    <t>del_x = (b - a) / n</t>
  </si>
  <si>
    <t>Cells(20, "E") = del_x</t>
  </si>
  <si>
    <t>Rem Now we'll go ahead and set up our different conditions and if then statemenets to handle</t>
  </si>
  <si>
    <t>' various user inputs based off of n being even or odd</t>
  </si>
  <si>
    <t>' Note: We'll reset i here so we can use it for our iterations</t>
  </si>
  <si>
    <t>' Note: Even if/then first, odd second</t>
  </si>
  <si>
    <t>' Note: This program will default to do the 1/3 rule first and the 3/8 rule second for the</t>
  </si>
  <si>
    <t>'       last remaining 3 intervals</t>
  </si>
  <si>
    <t>If n Mod 2 = 0 Then</t>
  </si>
  <si>
    <t xml:space="preserve">    Do While i &lt; n + 1</t>
  </si>
  <si>
    <t xml:space="preserve">        aidx = a + (i * del_x)</t>
  </si>
  <si>
    <t xml:space="preserve">        term = (aidx ^ 2) * (Application.WorksheetFunction.Ln(aidx))</t>
  </si>
  <si>
    <t xml:space="preserve">        If i = 0 Or i = n Then</t>
  </si>
  <si>
    <t xml:space="preserve">            Cells(22 + i, "F") = 1</t>
  </si>
  <si>
    <t xml:space="preserve">            Cells(22 + i, "G") = term</t>
  </si>
  <si>
    <t xml:space="preserve">        ElseIf i Mod 2 &lt;&gt; 0 Then</t>
  </si>
  <si>
    <t xml:space="preserve">            Cells(22 + i, "F") = 4</t>
  </si>
  <si>
    <t xml:space="preserve">            Cells(22 + i, "G") = 4 * term</t>
  </si>
  <si>
    <t xml:space="preserve">            Cells(22 + i, "F") = 2</t>
  </si>
  <si>
    <t xml:space="preserve">            Cells(22 + i, "G") = 2 * term</t>
  </si>
  <si>
    <t xml:space="preserve">        Cells(22 + i, "B") = "1/3"</t>
  </si>
  <si>
    <t xml:space="preserve">        Cells(22 + i, "D") = aidx</t>
  </si>
  <si>
    <t xml:space="preserve">        Cells(22 + i, "E") = term</t>
  </si>
  <si>
    <t xml:space="preserve">        Cells(22 + i, "C") = i</t>
  </si>
  <si>
    <t xml:space="preserve">        i = i + 1</t>
  </si>
  <si>
    <t xml:space="preserve">    Loop</t>
  </si>
  <si>
    <t xml:space="preserve">    Cells(22, "H") = sum13 * del_x / 3</t>
  </si>
  <si>
    <t xml:space="preserve">    sum13 = Cells(22, "H")</t>
  </si>
  <si>
    <t xml:space="preserve">    MsgBox "Calculation complete. Integral Approximation = " &amp; sum13</t>
  </si>
  <si>
    <t xml:space="preserve">    Cells(16, "H") = sum13</t>
  </si>
  <si>
    <t xml:space="preserve">    </t>
  </si>
  <si>
    <t>If n Mod 2 &lt;&gt; 0 Then</t>
  </si>
  <si>
    <t xml:space="preserve">    Do While i &lt; n - 2</t>
  </si>
  <si>
    <t xml:space="preserve">        If i = 0 Or i = n - 3 Then</t>
  </si>
  <si>
    <t xml:space="preserve">                sum13 = sum13 + term</t>
  </si>
  <si>
    <t xml:space="preserve">                Cells(22 + i, "F") = 1</t>
  </si>
  <si>
    <t xml:space="preserve">                Cells(22 + i, "G") = term</t>
  </si>
  <si>
    <t xml:space="preserve">            ElseIf i Mod 2 &lt;&gt; 0 Then</t>
  </si>
  <si>
    <t xml:space="preserve">                sum13 = sum13 + (4 * term)</t>
  </si>
  <si>
    <t xml:space="preserve">                Cells(22 + i, "F") = 4</t>
  </si>
  <si>
    <t xml:space="preserve">                Cells(22 + i, "G") = 4 * term</t>
  </si>
  <si>
    <t xml:space="preserve">            Else</t>
  </si>
  <si>
    <t xml:space="preserve">                sum13 = sum13 + (2 * term)</t>
  </si>
  <si>
    <t xml:space="preserve">                Cells(22 + i, "F") = 2</t>
  </si>
  <si>
    <t xml:space="preserve">                Cells(22 + i, "G") = 2 * term</t>
  </si>
  <si>
    <t xml:space="preserve">            End If</t>
  </si>
  <si>
    <t xml:space="preserve">            Cells(22 + i, "B") = "1/3"</t>
  </si>
  <si>
    <t xml:space="preserve">            Cells(22 + i, "D") = aidx</t>
  </si>
  <si>
    <t xml:space="preserve">            Cells(22 + i, "E") = term</t>
  </si>
  <si>
    <t xml:space="preserve">            Cells(22 + i, "C") = i</t>
  </si>
  <si>
    <t xml:space="preserve">    ' Now for the last 3 sub-intervals to be done with the 3/8 rule</t>
  </si>
  <si>
    <t xml:space="preserve">    ' Also we have to move i back one position because the n-3 value is shared between both</t>
  </si>
  <si>
    <t xml:space="preserve">    '   sets of integrals</t>
  </si>
  <si>
    <t xml:space="preserve">    i = i - 1</t>
  </si>
  <si>
    <t xml:space="preserve">        If i = n - 3 Or i = n Then</t>
  </si>
  <si>
    <t xml:space="preserve">                sum38 = sum38 + term</t>
  </si>
  <si>
    <t xml:space="preserve">                Cells(22 + i + 1, "F") = 1</t>
  </si>
  <si>
    <t xml:space="preserve">                Cells(22 + i + 1, "G") = term</t>
  </si>
  <si>
    <t xml:space="preserve">                sum38 = sum38 + (3 * term)</t>
  </si>
  <si>
    <t xml:space="preserve">                Cells(22 + i + 1, "F") = 3</t>
  </si>
  <si>
    <t xml:space="preserve">                Cells(22 + i + 1, "G") = 3 * term</t>
  </si>
  <si>
    <t xml:space="preserve">        Cells(22 + i + 1, "B") = "3/8"</t>
  </si>
  <si>
    <t xml:space="preserve">        Cells(22 + i + 1, "D") = aidx</t>
  </si>
  <si>
    <t xml:space="preserve">        Cells(22 + i + 1, "E") = term</t>
  </si>
  <si>
    <t xml:space="preserve">        Cells(22 + i + 1, "C") = i</t>
  </si>
  <si>
    <t xml:space="preserve">    Cells(23, "H") = 3 / 8 * del_x * sum38</t>
  </si>
  <si>
    <t xml:space="preserve">    sum38 = Cells(23, "H")</t>
  </si>
  <si>
    <t xml:space="preserve">    sum = sum13 + sum38</t>
  </si>
  <si>
    <t xml:space="preserve">    Cells(16, "H") = sum</t>
  </si>
  <si>
    <t xml:space="preserve">    MsgBox "Calculation complete. Integral Approximation = " &amp; sum</t>
  </si>
  <si>
    <t>Rem End of Program</t>
  </si>
  <si>
    <t>User Defined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</si>
</sst>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4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Alignment="1">
      <alignment horizontal="left" vertical="center"/>
    </xf>
    <xf numFmtId="0" fontId="3" fillId="2" borderId="0" xfId="0" applyFont="1" applyFill="1"/>
    <xf numFmtId="0" fontId="0" fillId="0" borderId="0" xfId="0" applyFill="1"/>
    <xf numFmtId="20" fontId="0" fillId="0" borderId="0" xfId="0" applyNumberFormat="1" applyFill="1"/>
    <xf numFmtId="0" fontId="0" fillId="3" borderId="0" xfId="0" applyFill="1"/>
    <xf numFmtId="0" fontId="4" fillId="0" borderId="0" xfId="0" applyFont="1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6" fillId="0" borderId="1" xfId="0" applyFont="1" applyBorder="1"/>
    <xf numFmtId="0" fontId="7" fillId="0" borderId="1" xfId="0" applyFont="1" applyBorder="1"/>
    <xf numFmtId="164" fontId="0" fillId="4" borderId="1" xfId="0" applyNumberFormat="1" applyFill="1" applyBorder="1"/>
    <xf numFmtId="0" fontId="0" fillId="0" borderId="0" xfId="0" applyBorder="1"/>
    <xf numFmtId="164" fontId="0" fillId="0" borderId="0" xfId="0" applyNumberFormat="1"/>
    <xf numFmtId="49" fontId="0" fillId="0" borderId="1" xfId="0" applyNumberFormat="1" applyBorder="1"/>
    <xf numFmtId="164" fontId="0" fillId="0" borderId="1" xfId="0" applyNumberFormat="1" applyBorder="1"/>
    <xf numFmtId="0" fontId="4" fillId="0" borderId="0" xfId="0" applyFont="1" applyAlignment="1">
      <alignment vertical="center"/>
    </xf>
    <xf numFmtId="0" fontId="0" fillId="4" borderId="0" xfId="0" applyFill="1"/>
    <xf numFmtId="164" fontId="7" fillId="0" borderId="1" xfId="0" applyNumberFormat="1" applyFont="1" applyBorder="1"/>
    <xf numFmtId="164" fontId="6" fillId="0" borderId="1" xfId="0" applyNumberFormat="1" applyFont="1" applyBorder="1"/>
    <xf numFmtId="164" fontId="0" fillId="0" borderId="1" xfId="0" applyNumberFormat="1" applyFill="1" applyBorder="1"/>
    <xf numFmtId="49" fontId="0" fillId="0" borderId="0" xfId="0" applyNumberFormat="1"/>
    <xf numFmtId="0" fontId="0" fillId="0" borderId="0" xfId="0" applyAlignment="1">
      <alignment horizontal="left" indent="2"/>
    </xf>
    <xf numFmtId="16" fontId="1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 xr:uid="{E51A550F-85CD-4AAC-BE27-93F7736FF4D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10</xdr:row>
          <xdr:rowOff>104775</xdr:rowOff>
        </xdr:from>
        <xdr:to>
          <xdr:col>6</xdr:col>
          <xdr:colOff>428625</xdr:colOff>
          <xdr:row>10</xdr:row>
          <xdr:rowOff>638175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Q4_Quad_Roots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126968</xdr:colOff>
      <xdr:row>5</xdr:row>
      <xdr:rowOff>51276</xdr:rowOff>
    </xdr:from>
    <xdr:ext cx="1380763" cy="2230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5337143" y="1003776"/>
              <a:ext cx="1380763" cy="223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4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0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5337143" y="1003776"/>
              <a:ext cx="1380763" cy="223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𝑎𝑥^2+𝑏𝑥+𝑐</a:t>
              </a:r>
              <a:r>
                <a:rPr lang="en-US" sz="1400" i="0">
                  <a:latin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</a:rPr>
                <a:t>0</a:t>
              </a:r>
              <a:endParaRPr lang="en-US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71437</xdr:rowOff>
    </xdr:from>
    <xdr:ext cx="994759" cy="4830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676275" y="642937"/>
              <a:ext cx="994759" cy="483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8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func>
                          <m:func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4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𝑑𝑥</m:t>
                        </m:r>
                      </m:e>
                    </m:nary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3A2BEF5-E2C4-403F-A9AA-4F3A72FD278D}"/>
                </a:ext>
              </a:extLst>
            </xdr:cNvPr>
            <xdr:cNvSpPr txBox="1"/>
          </xdr:nvSpPr>
          <xdr:spPr>
            <a:xfrm>
              <a:off x="676275" y="642937"/>
              <a:ext cx="994759" cy="483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∫24_1^8▒〖𝑥^2  ln⁡𝑥 𝑑𝑥〗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</xdr:col>
      <xdr:colOff>190500</xdr:colOff>
      <xdr:row>10</xdr:row>
      <xdr:rowOff>80962</xdr:rowOff>
    </xdr:from>
    <xdr:ext cx="4654287" cy="383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1409700" y="2452687"/>
              <a:ext cx="4654287" cy="383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𝑑𝑥</m:t>
                        </m:r>
                      </m:e>
                    </m:nary>
                    <m:r>
                      <a:rPr lang="en-US" sz="1100" b="0" i="1">
                        <a:latin typeface="Cambria Math" panose="02040503050406030204" pitchFamily="18" charset="0"/>
                      </a:rPr>
                      <m:t>≈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+4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+2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+4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+3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E3DB1D-B022-47FC-B6F6-5673F9B5FB07}"/>
                </a:ext>
              </a:extLst>
            </xdr:cNvPr>
            <xdr:cNvSpPr txBox="1"/>
          </xdr:nvSpPr>
          <xdr:spPr>
            <a:xfrm>
              <a:off x="1409700" y="2452687"/>
              <a:ext cx="4654287" cy="383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∫24_𝑎^𝑏▒𝑓(𝑥)𝑑𝑥≈1/3 Δ𝑥[𝑓(𝑎)+4𝑓(𝑎+Δ𝑥)+2𝑓(𝑎+2Δ𝑥)+4𝑓(𝑎+3Δ𝑥)+𝑓(𝑏)]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104775</xdr:colOff>
      <xdr:row>11</xdr:row>
      <xdr:rowOff>100012</xdr:rowOff>
    </xdr:from>
    <xdr:ext cx="3822970" cy="383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1323975" y="3062287"/>
              <a:ext cx="3822970" cy="383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𝑑𝑥</m:t>
                        </m:r>
                      </m:e>
                    </m:nary>
                    <m:r>
                      <a:rPr lang="en-US" sz="1100" b="0" i="1">
                        <a:latin typeface="Cambria Math" panose="02040503050406030204" pitchFamily="18" charset="0"/>
                      </a:rPr>
                      <m:t>≈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8</m:t>
                        </m:r>
                      </m:den>
                    </m:f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+3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+3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69B10DA-1BB3-4254-88E2-EAE0C98823A1}"/>
                </a:ext>
              </a:extLst>
            </xdr:cNvPr>
            <xdr:cNvSpPr txBox="1"/>
          </xdr:nvSpPr>
          <xdr:spPr>
            <a:xfrm>
              <a:off x="1323975" y="3062287"/>
              <a:ext cx="3822970" cy="383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∫24_𝑎^𝑏▒𝑓(𝑥)𝑑𝑥≈3/8 Δ𝑥[𝑓(𝑎)+3𝑓(𝑎+Δ𝑥)+3𝑓(𝑎+2Δ𝑥)+𝑓(𝑏)]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285750</xdr:colOff>
      <xdr:row>19</xdr:row>
      <xdr:rowOff>333375</xdr:rowOff>
    </xdr:from>
    <xdr:ext cx="810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895350" y="5314950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265CB81-9FDE-47D9-AFCA-A4764E801AF8}"/>
                </a:ext>
              </a:extLst>
            </xdr:cNvPr>
            <xdr:cNvSpPr txBox="1"/>
          </xdr:nvSpPr>
          <xdr:spPr>
            <a:xfrm>
              <a:off x="895350" y="5314950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152400</xdr:colOff>
      <xdr:row>19</xdr:row>
      <xdr:rowOff>347662</xdr:rowOff>
    </xdr:from>
    <xdr:ext cx="490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371600" y="5329237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CCDD52F9-D2A9-432B-BE1C-01BA759A0DDC}"/>
                </a:ext>
              </a:extLst>
            </xdr:cNvPr>
            <xdr:cNvSpPr txBox="1"/>
          </xdr:nvSpPr>
          <xdr:spPr>
            <a:xfrm>
              <a:off x="1371600" y="5329237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𝑎+𝑖Δ𝑥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190500</xdr:colOff>
      <xdr:row>19</xdr:row>
      <xdr:rowOff>338137</xdr:rowOff>
    </xdr:from>
    <xdr:ext cx="68897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2419350" y="5319712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9CAA546-D882-41ED-80F4-04FB3D14D7B4}"/>
                </a:ext>
              </a:extLst>
            </xdr:cNvPr>
            <xdr:cNvSpPr txBox="1"/>
          </xdr:nvSpPr>
          <xdr:spPr>
            <a:xfrm>
              <a:off x="2419350" y="5319712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190500</xdr:colOff>
      <xdr:row>19</xdr:row>
      <xdr:rowOff>342900</xdr:rowOff>
    </xdr:from>
    <xdr:ext cx="12135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400550" y="5324475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6E682CC-5B8B-49FB-8314-32CD88D09F79}"/>
                </a:ext>
              </a:extLst>
            </xdr:cNvPr>
            <xdr:cNvSpPr txBox="1"/>
          </xdr:nvSpPr>
          <xdr:spPr>
            <a:xfrm>
              <a:off x="4400550" y="5324475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𝑓𝑎𝑐𝑡𝑜𝑟⋅𝑓(𝑎+𝑖Δ𝑥)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85725</xdr:colOff>
      <xdr:row>19</xdr:row>
      <xdr:rowOff>52387</xdr:rowOff>
    </xdr:from>
    <xdr:ext cx="1673856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5734050" y="5033962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5734050" y="5033962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Δ𝑥/3⋅Σ(𝑓𝑎𝑐𝑡𝑜𝑟⋅𝑓(𝑎+𝑖Δ𝑥))</a:t>
              </a:r>
              <a:endParaRPr lang="en-US" sz="11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57150</xdr:colOff>
      <xdr:row>17</xdr:row>
      <xdr:rowOff>61912</xdr:rowOff>
    </xdr:from>
    <xdr:ext cx="3399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2286000" y="4186237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3B8BF617-F744-4D1E-B52B-5792C5EE820C}"/>
                </a:ext>
              </a:extLst>
            </xdr:cNvPr>
            <xdr:cNvSpPr txBox="1"/>
          </xdr:nvSpPr>
          <xdr:spPr>
            <a:xfrm>
              <a:off x="2286000" y="4186237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Δ𝑥=</a:t>
              </a:r>
              <a:endParaRPr lang="en-US" sz="1100" i="1"/>
            </a:p>
          </xdr:txBody>
        </xdr:sp>
      </mc:Fallback>
    </mc:AlternateContent>
    <xdr:clientData/>
  </xdr:oneCellAnchor>
  <xdr:twoCellAnchor editAs="oneCell">
    <xdr:from>
      <xdr:col>7</xdr:col>
      <xdr:colOff>110345</xdr:colOff>
      <xdr:row>19</xdr:row>
      <xdr:rowOff>95250</xdr:rowOff>
    </xdr:from>
    <xdr:to>
      <xdr:col>15</xdr:col>
      <xdr:colOff>503875</xdr:colOff>
      <xdr:row>37</xdr:row>
      <xdr:rowOff>65832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4170" y="5076825"/>
          <a:ext cx="5270330" cy="4675932"/>
        </a:xfrm>
        <a:prstGeom prst="rect">
          <a:avLst/>
        </a:prstGeom>
      </xdr:spPr>
    </xdr:pic>
    <xdr:clientData/>
  </xdr:twoCellAnchor>
  <xdr:oneCellAnchor>
    <xdr:from>
      <xdr:col>6</xdr:col>
      <xdr:colOff>76200</xdr:colOff>
      <xdr:row>19</xdr:row>
      <xdr:rowOff>442912</xdr:rowOff>
    </xdr:from>
    <xdr:ext cx="1751954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5724525" y="5424487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8</m:t>
                        </m:r>
                      </m:den>
                    </m:f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5724525" y="5424487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3Δ𝑥/8⋅Σ(𝑓𝑎𝑐𝑡𝑜𝑟⋅𝑓(𝑎+𝑖Δ𝑥))</a:t>
              </a:r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285750</xdr:colOff>
      <xdr:row>32</xdr:row>
      <xdr:rowOff>333375</xdr:rowOff>
    </xdr:from>
    <xdr:ext cx="810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895350" y="5314950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5D9DA8E4-5A9A-45D7-AA29-6EC9CC30D458}"/>
                </a:ext>
              </a:extLst>
            </xdr:cNvPr>
            <xdr:cNvSpPr txBox="1"/>
          </xdr:nvSpPr>
          <xdr:spPr>
            <a:xfrm>
              <a:off x="895350" y="5314950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152400</xdr:colOff>
      <xdr:row>32</xdr:row>
      <xdr:rowOff>347662</xdr:rowOff>
    </xdr:from>
    <xdr:ext cx="490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371600" y="5329237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3F25DD2-C2AE-4316-9313-BDCAAD6B7041}"/>
                </a:ext>
              </a:extLst>
            </xdr:cNvPr>
            <xdr:cNvSpPr txBox="1"/>
          </xdr:nvSpPr>
          <xdr:spPr>
            <a:xfrm>
              <a:off x="1371600" y="5329237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𝑎+𝑖Δ𝑥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190500</xdr:colOff>
      <xdr:row>32</xdr:row>
      <xdr:rowOff>338137</xdr:rowOff>
    </xdr:from>
    <xdr:ext cx="68897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 txBox="1"/>
          </xdr:nvSpPr>
          <xdr:spPr>
            <a:xfrm>
              <a:off x="2419350" y="5319712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F6618FBA-CB7C-43B2-B389-DB6B0AD6CEDA}"/>
                </a:ext>
              </a:extLst>
            </xdr:cNvPr>
            <xdr:cNvSpPr txBox="1"/>
          </xdr:nvSpPr>
          <xdr:spPr>
            <a:xfrm>
              <a:off x="2419350" y="5319712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190500</xdr:colOff>
      <xdr:row>32</xdr:row>
      <xdr:rowOff>342900</xdr:rowOff>
    </xdr:from>
    <xdr:ext cx="12135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4400550" y="5324475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F573F87E-368C-4F68-A1BC-2F51EAD2C2DA}"/>
                </a:ext>
              </a:extLst>
            </xdr:cNvPr>
            <xdr:cNvSpPr txBox="1"/>
          </xdr:nvSpPr>
          <xdr:spPr>
            <a:xfrm>
              <a:off x="4400550" y="5324475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𝑓𝑎𝑐𝑡𝑜𝑟⋅𝑓(𝑎+𝑖Δ𝑥)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85725</xdr:colOff>
      <xdr:row>32</xdr:row>
      <xdr:rowOff>52387</xdr:rowOff>
    </xdr:from>
    <xdr:ext cx="1673856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5734050" y="8139112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5734050" y="8139112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Δ𝑥/3⋅Σ(𝑓𝑎𝑐𝑡𝑜𝑟⋅𝑓(𝑎+𝑖Δ𝑥))</a:t>
              </a:r>
              <a:endParaRPr lang="en-US" sz="11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6</xdr:col>
      <xdr:colOff>76200</xdr:colOff>
      <xdr:row>32</xdr:row>
      <xdr:rowOff>442912</xdr:rowOff>
    </xdr:from>
    <xdr:ext cx="1751954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5724525" y="8529637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8</m:t>
                        </m:r>
                      </m:den>
                    </m:f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5724525" y="8529637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3Δ𝑥/8⋅Σ(𝑓𝑎𝑐𝑡𝑜𝑟⋅𝑓(𝑎+𝑖Δ𝑥))</a:t>
              </a:r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2</xdr:row>
      <xdr:rowOff>104775</xdr:rowOff>
    </xdr:from>
    <xdr:ext cx="994759" cy="4830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0025" y="485775"/>
              <a:ext cx="994759" cy="483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8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func>
                          <m:func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4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𝑑𝑥</m:t>
                        </m:r>
                      </m:e>
                    </m:nary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EE2DE94-561B-4D11-9810-48EC02108B3A}"/>
                </a:ext>
              </a:extLst>
            </xdr:cNvPr>
            <xdr:cNvSpPr txBox="1"/>
          </xdr:nvSpPr>
          <xdr:spPr>
            <a:xfrm>
              <a:off x="200025" y="485775"/>
              <a:ext cx="994759" cy="483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∫_1^8▒〖𝑥^2  ln⁡𝑥 𝑑𝑥〗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</xdr:col>
      <xdr:colOff>285750</xdr:colOff>
      <xdr:row>16</xdr:row>
      <xdr:rowOff>333375</xdr:rowOff>
    </xdr:from>
    <xdr:ext cx="810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895350" y="5314950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FFE8C51-353B-45D9-8276-161C639248AF}"/>
                </a:ext>
              </a:extLst>
            </xdr:cNvPr>
            <xdr:cNvSpPr txBox="1"/>
          </xdr:nvSpPr>
          <xdr:spPr>
            <a:xfrm>
              <a:off x="895350" y="5314950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152400</xdr:colOff>
      <xdr:row>16</xdr:row>
      <xdr:rowOff>347662</xdr:rowOff>
    </xdr:from>
    <xdr:ext cx="490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371600" y="5329237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A7FD817-CB1B-4F29-A2B1-2E8AD697AE2A}"/>
                </a:ext>
              </a:extLst>
            </xdr:cNvPr>
            <xdr:cNvSpPr txBox="1"/>
          </xdr:nvSpPr>
          <xdr:spPr>
            <a:xfrm>
              <a:off x="1371600" y="5329237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𝑎+𝑖Δ𝑥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190500</xdr:colOff>
      <xdr:row>16</xdr:row>
      <xdr:rowOff>338137</xdr:rowOff>
    </xdr:from>
    <xdr:ext cx="68897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2419350" y="5319712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FEDC37C1-3421-4F0B-A35C-136B71D57357}"/>
                </a:ext>
              </a:extLst>
            </xdr:cNvPr>
            <xdr:cNvSpPr txBox="1"/>
          </xdr:nvSpPr>
          <xdr:spPr>
            <a:xfrm>
              <a:off x="2419350" y="5319712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190500</xdr:colOff>
      <xdr:row>16</xdr:row>
      <xdr:rowOff>342900</xdr:rowOff>
    </xdr:from>
    <xdr:ext cx="12135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4400550" y="5324475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8EA4956-68B0-472D-993E-4E5F4D679FB1}"/>
                </a:ext>
              </a:extLst>
            </xdr:cNvPr>
            <xdr:cNvSpPr txBox="1"/>
          </xdr:nvSpPr>
          <xdr:spPr>
            <a:xfrm>
              <a:off x="4400550" y="5324475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𝑓𝑎𝑐𝑡𝑜𝑟⋅𝑓(𝑎+𝑖Δ𝑥)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85725</xdr:colOff>
      <xdr:row>16</xdr:row>
      <xdr:rowOff>52387</xdr:rowOff>
    </xdr:from>
    <xdr:ext cx="1673856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5734050" y="5033962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78C05184-00FB-406F-BD77-ECE2E6455EF3}"/>
                </a:ext>
              </a:extLst>
            </xdr:cNvPr>
            <xdr:cNvSpPr txBox="1"/>
          </xdr:nvSpPr>
          <xdr:spPr>
            <a:xfrm>
              <a:off x="5734050" y="5033962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Δ𝑥/3⋅Σ(𝑓𝑎𝑐𝑡𝑜𝑟⋅𝑓(𝑎+𝑖Δ𝑥))</a:t>
              </a:r>
              <a:endParaRPr lang="en-US" sz="11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7</xdr:col>
      <xdr:colOff>76200</xdr:colOff>
      <xdr:row>16</xdr:row>
      <xdr:rowOff>442912</xdr:rowOff>
    </xdr:from>
    <xdr:ext cx="1751954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5724525" y="5424487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8</m:t>
                        </m:r>
                      </m:den>
                    </m:f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9ECACB17-744F-4F8C-B004-90625D14C9D9}"/>
                </a:ext>
              </a:extLst>
            </xdr:cNvPr>
            <xdr:cNvSpPr txBox="1"/>
          </xdr:nvSpPr>
          <xdr:spPr>
            <a:xfrm>
              <a:off x="5724525" y="5424487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3Δ𝑥/8⋅Σ(𝑓𝑎𝑐𝑡𝑜𝑟⋅𝑓(𝑎+𝑖Δ𝑥))</a:t>
              </a:r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57150</xdr:colOff>
      <xdr:row>15</xdr:row>
      <xdr:rowOff>61912</xdr:rowOff>
    </xdr:from>
    <xdr:ext cx="3399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2286000" y="4567237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E639DEA-0FAB-40E5-BEB4-2CBC417BF355}"/>
                </a:ext>
              </a:extLst>
            </xdr:cNvPr>
            <xdr:cNvSpPr txBox="1"/>
          </xdr:nvSpPr>
          <xdr:spPr>
            <a:xfrm>
              <a:off x="2286000" y="4567237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Δ𝑥=</a:t>
              </a:r>
              <a:endParaRPr lang="en-US" sz="1100" i="1"/>
            </a:p>
          </xdr:txBody>
        </xdr:sp>
      </mc:Fallback>
    </mc:AlternateContent>
    <xdr:clientData/>
  </xdr:oneCellAnchor>
  <xdr:oneCellAnchor>
    <xdr:from>
      <xdr:col>10</xdr:col>
      <xdr:colOff>285750</xdr:colOff>
      <xdr:row>16</xdr:row>
      <xdr:rowOff>333375</xdr:rowOff>
    </xdr:from>
    <xdr:ext cx="810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1504950" y="4448175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3827467D-6B3B-4B2D-922F-A934ED2E601C}"/>
                </a:ext>
              </a:extLst>
            </xdr:cNvPr>
            <xdr:cNvSpPr txBox="1"/>
          </xdr:nvSpPr>
          <xdr:spPr>
            <a:xfrm>
              <a:off x="1504950" y="4448175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152400</xdr:colOff>
      <xdr:row>16</xdr:row>
      <xdr:rowOff>347662</xdr:rowOff>
    </xdr:from>
    <xdr:ext cx="490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1981200" y="4462462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3732E1AC-E1BE-4B25-9953-087DF943FA1D}"/>
                </a:ext>
              </a:extLst>
            </xdr:cNvPr>
            <xdr:cNvSpPr txBox="1"/>
          </xdr:nvSpPr>
          <xdr:spPr>
            <a:xfrm>
              <a:off x="1981200" y="4462462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𝑎+𝑖Δ𝑥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190500</xdr:colOff>
      <xdr:row>16</xdr:row>
      <xdr:rowOff>338137</xdr:rowOff>
    </xdr:from>
    <xdr:ext cx="68897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3028950" y="4452937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5BE3EF21-2413-484A-8BA6-91B2C3EFC9F9}"/>
                </a:ext>
              </a:extLst>
            </xdr:cNvPr>
            <xdr:cNvSpPr txBox="1"/>
          </xdr:nvSpPr>
          <xdr:spPr>
            <a:xfrm>
              <a:off x="3028950" y="4452937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190500</xdr:colOff>
      <xdr:row>16</xdr:row>
      <xdr:rowOff>342900</xdr:rowOff>
    </xdr:from>
    <xdr:ext cx="12135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5010150" y="4457700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D1F23C5-5F10-4793-82B1-DF5A4CB9566B}"/>
                </a:ext>
              </a:extLst>
            </xdr:cNvPr>
            <xdr:cNvSpPr txBox="1"/>
          </xdr:nvSpPr>
          <xdr:spPr>
            <a:xfrm>
              <a:off x="5010150" y="4457700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𝑓𝑎𝑐𝑡𝑜𝑟⋅𝑓(𝑎+𝑖Δ𝑥)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15</xdr:col>
      <xdr:colOff>85725</xdr:colOff>
      <xdr:row>16</xdr:row>
      <xdr:rowOff>52387</xdr:rowOff>
    </xdr:from>
    <xdr:ext cx="1673856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343650" y="4167187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C5D15E37-7471-4338-8523-2D7E97A91594}"/>
                </a:ext>
              </a:extLst>
            </xdr:cNvPr>
            <xdr:cNvSpPr txBox="1"/>
          </xdr:nvSpPr>
          <xdr:spPr>
            <a:xfrm>
              <a:off x="6343650" y="4167187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Δ𝑥/3⋅Σ(𝑓𝑎𝑐𝑡𝑜𝑟⋅𝑓(𝑎+𝑖Δ𝑥))</a:t>
              </a:r>
              <a:endParaRPr lang="en-US" sz="11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15</xdr:col>
      <xdr:colOff>76200</xdr:colOff>
      <xdr:row>16</xdr:row>
      <xdr:rowOff>442912</xdr:rowOff>
    </xdr:from>
    <xdr:ext cx="1751954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 txBox="1"/>
          </xdr:nvSpPr>
          <xdr:spPr>
            <a:xfrm>
              <a:off x="6334125" y="4557712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8</m:t>
                        </m:r>
                      </m:den>
                    </m:f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4E0821CB-A5B1-4818-BBE8-1DDE3AFA0427}"/>
                </a:ext>
              </a:extLst>
            </xdr:cNvPr>
            <xdr:cNvSpPr txBox="1"/>
          </xdr:nvSpPr>
          <xdr:spPr>
            <a:xfrm>
              <a:off x="6334125" y="4557712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3Δ𝑥/8⋅Σ(𝑓𝑎𝑐𝑡𝑜𝑟⋅𝑓(𝑎+𝑖Δ𝑥))</a:t>
              </a:r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11</xdr:col>
      <xdr:colOff>57150</xdr:colOff>
      <xdr:row>15</xdr:row>
      <xdr:rowOff>61912</xdr:rowOff>
    </xdr:from>
    <xdr:ext cx="3399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SpPr txBox="1"/>
          </xdr:nvSpPr>
          <xdr:spPr>
            <a:xfrm>
              <a:off x="1885950" y="3929062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EBB2AD31-4F86-42EE-A115-2044DC6897B5}"/>
                </a:ext>
              </a:extLst>
            </xdr:cNvPr>
            <xdr:cNvSpPr txBox="1"/>
          </xdr:nvSpPr>
          <xdr:spPr>
            <a:xfrm>
              <a:off x="1885950" y="3929062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Δ𝑥=</a:t>
              </a:r>
              <a:endParaRPr lang="en-US" sz="1100" i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10</xdr:row>
          <xdr:rowOff>104775</xdr:rowOff>
        </xdr:from>
        <xdr:to>
          <xdr:col>5</xdr:col>
          <xdr:colOff>609600</xdr:colOff>
          <xdr:row>10</xdr:row>
          <xdr:rowOff>542925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Question 5b: Simpsons Rule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285750</xdr:colOff>
      <xdr:row>16</xdr:row>
      <xdr:rowOff>333375</xdr:rowOff>
    </xdr:from>
    <xdr:ext cx="810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1504950" y="4448175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A9F596D-DB62-42B8-8150-822C7AA988D6}"/>
                </a:ext>
              </a:extLst>
            </xdr:cNvPr>
            <xdr:cNvSpPr txBox="1"/>
          </xdr:nvSpPr>
          <xdr:spPr>
            <a:xfrm>
              <a:off x="1504950" y="4448175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152400</xdr:colOff>
      <xdr:row>16</xdr:row>
      <xdr:rowOff>347662</xdr:rowOff>
    </xdr:from>
    <xdr:ext cx="490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SpPr txBox="1"/>
          </xdr:nvSpPr>
          <xdr:spPr>
            <a:xfrm>
              <a:off x="1981200" y="4462462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E2C643D3-4B8D-445E-91F7-276945518211}"/>
                </a:ext>
              </a:extLst>
            </xdr:cNvPr>
            <xdr:cNvSpPr txBox="1"/>
          </xdr:nvSpPr>
          <xdr:spPr>
            <a:xfrm>
              <a:off x="1981200" y="4462462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𝑎+𝑖Δ𝑥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190500</xdr:colOff>
      <xdr:row>16</xdr:row>
      <xdr:rowOff>338137</xdr:rowOff>
    </xdr:from>
    <xdr:ext cx="68897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3028950" y="4452937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4F8A868B-A1BA-45FE-A9EF-3E55149B5599}"/>
                </a:ext>
              </a:extLst>
            </xdr:cNvPr>
            <xdr:cNvSpPr txBox="1"/>
          </xdr:nvSpPr>
          <xdr:spPr>
            <a:xfrm>
              <a:off x="3028950" y="4452937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190500</xdr:colOff>
      <xdr:row>16</xdr:row>
      <xdr:rowOff>342900</xdr:rowOff>
    </xdr:from>
    <xdr:ext cx="12135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 txBox="1"/>
          </xdr:nvSpPr>
          <xdr:spPr>
            <a:xfrm>
              <a:off x="5010150" y="4457700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BA4983B0-7B31-4F37-9116-AC8CE3EB4240}"/>
                </a:ext>
              </a:extLst>
            </xdr:cNvPr>
            <xdr:cNvSpPr txBox="1"/>
          </xdr:nvSpPr>
          <xdr:spPr>
            <a:xfrm>
              <a:off x="5010150" y="4457700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𝑓𝑎𝑐𝑡𝑜𝑟⋅𝑓(𝑎+𝑖Δ𝑥)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15</xdr:col>
      <xdr:colOff>85725</xdr:colOff>
      <xdr:row>16</xdr:row>
      <xdr:rowOff>52387</xdr:rowOff>
    </xdr:from>
    <xdr:ext cx="1673856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 txBox="1"/>
          </xdr:nvSpPr>
          <xdr:spPr>
            <a:xfrm>
              <a:off x="6343650" y="4167187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82CC54E9-15A5-4A51-A0B7-102785F689DC}"/>
                </a:ext>
              </a:extLst>
            </xdr:cNvPr>
            <xdr:cNvSpPr txBox="1"/>
          </xdr:nvSpPr>
          <xdr:spPr>
            <a:xfrm>
              <a:off x="6343650" y="4167187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Δ𝑥/3⋅Σ(𝑓𝑎𝑐𝑡𝑜𝑟⋅𝑓(𝑎+𝑖Δ𝑥))</a:t>
              </a:r>
              <a:endParaRPr lang="en-US" sz="11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15</xdr:col>
      <xdr:colOff>76200</xdr:colOff>
      <xdr:row>16</xdr:row>
      <xdr:rowOff>442912</xdr:rowOff>
    </xdr:from>
    <xdr:ext cx="1751954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SpPr txBox="1"/>
          </xdr:nvSpPr>
          <xdr:spPr>
            <a:xfrm>
              <a:off x="6334125" y="4557712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8</m:t>
                        </m:r>
                      </m:den>
                    </m:f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8A0C6AF-B384-43EE-A756-E682B9CFA6E1}"/>
                </a:ext>
              </a:extLst>
            </xdr:cNvPr>
            <xdr:cNvSpPr txBox="1"/>
          </xdr:nvSpPr>
          <xdr:spPr>
            <a:xfrm>
              <a:off x="6334125" y="4557712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3Δ𝑥/8⋅Σ(𝑓𝑎𝑐𝑡𝑜𝑟⋅𝑓(𝑎+𝑖Δ𝑥))</a:t>
              </a:r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11</xdr:col>
      <xdr:colOff>57150</xdr:colOff>
      <xdr:row>15</xdr:row>
      <xdr:rowOff>61912</xdr:rowOff>
    </xdr:from>
    <xdr:ext cx="3399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 txBox="1"/>
          </xdr:nvSpPr>
          <xdr:spPr>
            <a:xfrm>
              <a:off x="1885950" y="3929062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D47C70E-D519-4684-A6E5-0F14D91BD9AC}"/>
                </a:ext>
              </a:extLst>
            </xdr:cNvPr>
            <xdr:cNvSpPr txBox="1"/>
          </xdr:nvSpPr>
          <xdr:spPr>
            <a:xfrm>
              <a:off x="1885950" y="3929062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Δ𝑥=</a:t>
              </a:r>
              <a:endParaRPr lang="en-US" sz="1100" i="1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276225</xdr:colOff>
      <xdr:row>2</xdr:row>
      <xdr:rowOff>166687</xdr:rowOff>
    </xdr:from>
    <xdr:ext cx="1090042" cy="488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276225" y="547687"/>
              <a:ext cx="1090042" cy="488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m:rPr>
                            <m:sty m:val="p"/>
                          </m:rPr>
                          <a:rPr lang="en-US" sz="1400" b="0" i="0">
                            <a:latin typeface="Cambria Math" panose="02040503050406030204" pitchFamily="18" charset="0"/>
                          </a:rPr>
                          <m:t>ln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⁡(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nary>
                    <m:r>
                      <a:rPr lang="en-US" sz="1400" b="0" i="1">
                        <a:latin typeface="Cambria Math" panose="02040503050406030204" pitchFamily="18" charset="0"/>
                      </a:rPr>
                      <m:t>𝑑𝑥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F3E7837-2A5C-4D44-8E92-29E1F5AA3F37}"/>
                </a:ext>
              </a:extLst>
            </xdr:cNvPr>
            <xdr:cNvSpPr txBox="1"/>
          </xdr:nvSpPr>
          <xdr:spPr>
            <a:xfrm>
              <a:off x="276225" y="547687"/>
              <a:ext cx="1090042" cy="488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∫24_𝑎^𝑏▒〖𝑥^2 ln⁡(𝑥)〗 𝑑𝑥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</xdr:col>
      <xdr:colOff>285750</xdr:colOff>
      <xdr:row>20</xdr:row>
      <xdr:rowOff>333375</xdr:rowOff>
    </xdr:from>
    <xdr:ext cx="810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1504950" y="4448175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A194B04D-4B82-4AAF-81C3-7734D4EB8404}"/>
                </a:ext>
              </a:extLst>
            </xdr:cNvPr>
            <xdr:cNvSpPr txBox="1"/>
          </xdr:nvSpPr>
          <xdr:spPr>
            <a:xfrm>
              <a:off x="1504950" y="4448175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152400</xdr:colOff>
      <xdr:row>20</xdr:row>
      <xdr:rowOff>347662</xdr:rowOff>
    </xdr:from>
    <xdr:ext cx="490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1981200" y="4462462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C73CC118-9030-40A5-9A8D-F8B97DF58051}"/>
                </a:ext>
              </a:extLst>
            </xdr:cNvPr>
            <xdr:cNvSpPr txBox="1"/>
          </xdr:nvSpPr>
          <xdr:spPr>
            <a:xfrm>
              <a:off x="1981200" y="4462462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𝑎+𝑖Δ𝑥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190500</xdr:colOff>
      <xdr:row>20</xdr:row>
      <xdr:rowOff>338137</xdr:rowOff>
    </xdr:from>
    <xdr:ext cx="68897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3028950" y="4452937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A526418E-88C0-4EC1-8E07-343683180829}"/>
                </a:ext>
              </a:extLst>
            </xdr:cNvPr>
            <xdr:cNvSpPr txBox="1"/>
          </xdr:nvSpPr>
          <xdr:spPr>
            <a:xfrm>
              <a:off x="3028950" y="4452937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190500</xdr:colOff>
      <xdr:row>20</xdr:row>
      <xdr:rowOff>342900</xdr:rowOff>
    </xdr:from>
    <xdr:ext cx="12135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:cNvPr>
            <xdr:cNvSpPr txBox="1"/>
          </xdr:nvSpPr>
          <xdr:spPr>
            <a:xfrm>
              <a:off x="5010150" y="4457700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89C95693-D063-4B43-80C0-0C1582596EE7}"/>
                </a:ext>
              </a:extLst>
            </xdr:cNvPr>
            <xdr:cNvSpPr txBox="1"/>
          </xdr:nvSpPr>
          <xdr:spPr>
            <a:xfrm>
              <a:off x="5010150" y="4457700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𝑓𝑎𝑐𝑡𝑜𝑟⋅𝑓(𝑎+𝑖Δ𝑥)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85725</xdr:colOff>
      <xdr:row>20</xdr:row>
      <xdr:rowOff>52387</xdr:rowOff>
    </xdr:from>
    <xdr:ext cx="1673856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6343650" y="4167187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573D6DC-A776-4ECB-8A6C-9E11C20FE14C}"/>
                </a:ext>
              </a:extLst>
            </xdr:cNvPr>
            <xdr:cNvSpPr txBox="1"/>
          </xdr:nvSpPr>
          <xdr:spPr>
            <a:xfrm>
              <a:off x="6343650" y="4167187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Δ𝑥/3⋅Σ(𝑓𝑎𝑐𝑡𝑜𝑟⋅𝑓(𝑎+𝑖Δ𝑥))</a:t>
              </a:r>
              <a:endParaRPr lang="en-US" sz="11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7</xdr:col>
      <xdr:colOff>76200</xdr:colOff>
      <xdr:row>20</xdr:row>
      <xdr:rowOff>442912</xdr:rowOff>
    </xdr:from>
    <xdr:ext cx="1751954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6334125" y="4557712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8</m:t>
                        </m:r>
                      </m:den>
                    </m:f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AB655DC0-1FEA-48CE-898D-46FDD75ABF71}"/>
                </a:ext>
              </a:extLst>
            </xdr:cNvPr>
            <xdr:cNvSpPr txBox="1"/>
          </xdr:nvSpPr>
          <xdr:spPr>
            <a:xfrm>
              <a:off x="6334125" y="4557712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3Δ𝑥/8⋅Σ(𝑓𝑎𝑐𝑡𝑜𝑟⋅𝑓(𝑎+𝑖Δ𝑥))</a:t>
              </a:r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57150</xdr:colOff>
      <xdr:row>19</xdr:row>
      <xdr:rowOff>61912</xdr:rowOff>
    </xdr:from>
    <xdr:ext cx="3399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1885950" y="3929062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DB7A5372-EB38-4BF4-AD43-544DEF160A5D}"/>
                </a:ext>
              </a:extLst>
            </xdr:cNvPr>
            <xdr:cNvSpPr txBox="1"/>
          </xdr:nvSpPr>
          <xdr:spPr>
            <a:xfrm>
              <a:off x="1885950" y="3929062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Δ𝑥=</a:t>
              </a:r>
              <a:endParaRPr lang="en-US" sz="1100" i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14</xdr:row>
          <xdr:rowOff>133350</xdr:rowOff>
        </xdr:from>
        <xdr:to>
          <xdr:col>6</xdr:col>
          <xdr:colOff>609600</xdr:colOff>
          <xdr:row>14</xdr:row>
          <xdr:rowOff>609600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Question 6: Simpson's Rule with User Defined Input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285750</xdr:colOff>
      <xdr:row>20</xdr:row>
      <xdr:rowOff>333375</xdr:rowOff>
    </xdr:from>
    <xdr:ext cx="810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1504950" y="5429250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9D00B55C-5CE8-4A90-8EEB-DF914A3B9135}"/>
                </a:ext>
              </a:extLst>
            </xdr:cNvPr>
            <xdr:cNvSpPr txBox="1"/>
          </xdr:nvSpPr>
          <xdr:spPr>
            <a:xfrm>
              <a:off x="1504950" y="5429250"/>
              <a:ext cx="810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152400</xdr:colOff>
      <xdr:row>20</xdr:row>
      <xdr:rowOff>347662</xdr:rowOff>
    </xdr:from>
    <xdr:ext cx="490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 txBox="1"/>
          </xdr:nvSpPr>
          <xdr:spPr>
            <a:xfrm>
              <a:off x="1981200" y="5443537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F53C2AE8-DCE8-49BC-AD52-8AB99BCCED06}"/>
                </a:ext>
              </a:extLst>
            </xdr:cNvPr>
            <xdr:cNvSpPr txBox="1"/>
          </xdr:nvSpPr>
          <xdr:spPr>
            <a:xfrm>
              <a:off x="1981200" y="5443537"/>
              <a:ext cx="490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𝑎+𝑖Δ𝑥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190500</xdr:colOff>
      <xdr:row>20</xdr:row>
      <xdr:rowOff>338137</xdr:rowOff>
    </xdr:from>
    <xdr:ext cx="68897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 txBox="1"/>
          </xdr:nvSpPr>
          <xdr:spPr>
            <a:xfrm>
              <a:off x="3028950" y="5434012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EB531D75-1E2B-4407-BC33-92C277A35504}"/>
                </a:ext>
              </a:extLst>
            </xdr:cNvPr>
            <xdr:cNvSpPr txBox="1"/>
          </xdr:nvSpPr>
          <xdr:spPr>
            <a:xfrm>
              <a:off x="3028950" y="5434012"/>
              <a:ext cx="68897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190500</xdr:colOff>
      <xdr:row>20</xdr:row>
      <xdr:rowOff>342900</xdr:rowOff>
    </xdr:from>
    <xdr:ext cx="12135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 txBox="1"/>
          </xdr:nvSpPr>
          <xdr:spPr>
            <a:xfrm>
              <a:off x="5010150" y="5438775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F59EECA-36E9-43B2-A8B3-FF74BBD1C52F}"/>
                </a:ext>
              </a:extLst>
            </xdr:cNvPr>
            <xdr:cNvSpPr txBox="1"/>
          </xdr:nvSpPr>
          <xdr:spPr>
            <a:xfrm>
              <a:off x="5010150" y="5438775"/>
              <a:ext cx="12135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𝑓𝑎𝑐𝑡𝑜𝑟⋅𝑓(𝑎+𝑖Δ𝑥)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15</xdr:col>
      <xdr:colOff>85725</xdr:colOff>
      <xdr:row>20</xdr:row>
      <xdr:rowOff>52387</xdr:rowOff>
    </xdr:from>
    <xdr:ext cx="1673856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SpPr txBox="1"/>
          </xdr:nvSpPr>
          <xdr:spPr>
            <a:xfrm>
              <a:off x="6429375" y="5148262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C6A57F70-7D62-405D-8CA6-383FDB52F5B0}"/>
                </a:ext>
              </a:extLst>
            </xdr:cNvPr>
            <xdr:cNvSpPr txBox="1"/>
          </xdr:nvSpPr>
          <xdr:spPr>
            <a:xfrm>
              <a:off x="6429375" y="5148262"/>
              <a:ext cx="1673856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Δ𝑥/3⋅Σ(𝑓𝑎𝑐𝑡𝑜𝑟⋅𝑓(𝑎+𝑖Δ𝑥))</a:t>
              </a:r>
              <a:endParaRPr lang="en-US" sz="11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15</xdr:col>
      <xdr:colOff>76200</xdr:colOff>
      <xdr:row>20</xdr:row>
      <xdr:rowOff>442912</xdr:rowOff>
    </xdr:from>
    <xdr:ext cx="1751954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SpPr txBox="1"/>
          </xdr:nvSpPr>
          <xdr:spPr>
            <a:xfrm>
              <a:off x="6419850" y="5538787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8</m:t>
                        </m:r>
                      </m:den>
                    </m:f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Σ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n-US" sz="11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9A4409C-3525-48CF-9CC0-3AD7529F861F}"/>
                </a:ext>
              </a:extLst>
            </xdr:cNvPr>
            <xdr:cNvSpPr txBox="1"/>
          </xdr:nvSpPr>
          <xdr:spPr>
            <a:xfrm>
              <a:off x="6419850" y="5538787"/>
              <a:ext cx="1751954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3Δ𝑥/8⋅Σ(𝑓𝑎𝑐𝑡𝑜𝑟⋅𝑓(𝑎+𝑖Δ𝑥))</a:t>
              </a:r>
              <a:endParaRPr lang="en-US" sz="11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11</xdr:col>
      <xdr:colOff>57150</xdr:colOff>
      <xdr:row>19</xdr:row>
      <xdr:rowOff>61912</xdr:rowOff>
    </xdr:from>
    <xdr:ext cx="3399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1885950" y="4862512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CE50F071-9FBE-4D9B-B91C-A315EC1E9CB5}"/>
                </a:ext>
              </a:extLst>
            </xdr:cNvPr>
            <xdr:cNvSpPr txBox="1"/>
          </xdr:nvSpPr>
          <xdr:spPr>
            <a:xfrm>
              <a:off x="1885950" y="4862512"/>
              <a:ext cx="3399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Δ𝑥=</a:t>
              </a:r>
              <a:endParaRPr lang="en-US" sz="1100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C16D-F0A2-4CBD-90D1-10F32377574A}">
  <sheetPr codeName="Sheet1"/>
  <dimension ref="A1:B26"/>
  <sheetViews>
    <sheetView tabSelected="1" workbookViewId="0">
      <selection activeCell="B28" sqref="B28"/>
    </sheetView>
  </sheetViews>
  <sheetFormatPr defaultRowHeight="15" x14ac:dyDescent="0.25"/>
  <cols>
    <col min="1" max="1" width="20.5703125" customWidth="1"/>
    <col min="2" max="2" width="54.28515625" customWidth="1"/>
  </cols>
  <sheetData>
    <row r="1" spans="1:2" ht="15.75" x14ac:dyDescent="0.25">
      <c r="A1" s="3" t="s">
        <v>0</v>
      </c>
      <c r="B1" s="1" t="s">
        <v>1</v>
      </c>
    </row>
    <row r="2" spans="1:2" ht="15.75" x14ac:dyDescent="0.25">
      <c r="A2" s="3" t="s">
        <v>2</v>
      </c>
      <c r="B2" s="1" t="s">
        <v>3</v>
      </c>
    </row>
    <row r="3" spans="1:2" ht="15.75" x14ac:dyDescent="0.25">
      <c r="A3" s="3" t="s">
        <v>4</v>
      </c>
      <c r="B3" s="2" t="s">
        <v>21</v>
      </c>
    </row>
    <row r="4" spans="1:2" ht="15.75" x14ac:dyDescent="0.25">
      <c r="A4" s="3" t="s">
        <v>5</v>
      </c>
      <c r="B4" s="1" t="s">
        <v>22</v>
      </c>
    </row>
    <row r="5" spans="1:2" x14ac:dyDescent="0.25">
      <c r="A5" s="4" t="s">
        <v>6</v>
      </c>
    </row>
    <row r="6" spans="1:2" x14ac:dyDescent="0.25">
      <c r="A6" s="4"/>
    </row>
    <row r="7" spans="1:2" ht="15.75" x14ac:dyDescent="0.25">
      <c r="A7" s="5" t="s">
        <v>16</v>
      </c>
    </row>
    <row r="8" spans="1:2" x14ac:dyDescent="0.25">
      <c r="A8" s="6"/>
      <c r="B8" s="10" t="s">
        <v>17</v>
      </c>
    </row>
    <row r="9" spans="1:2" x14ac:dyDescent="0.25">
      <c r="A9" s="6"/>
      <c r="B9" s="10" t="s">
        <v>18</v>
      </c>
    </row>
    <row r="10" spans="1:2" x14ac:dyDescent="0.25">
      <c r="A10" s="6"/>
      <c r="B10" s="10" t="s">
        <v>19</v>
      </c>
    </row>
    <row r="11" spans="1:2" x14ac:dyDescent="0.25">
      <c r="A11" s="6"/>
      <c r="B11" s="10" t="s">
        <v>20</v>
      </c>
    </row>
    <row r="12" spans="1:2" x14ac:dyDescent="0.25">
      <c r="A12" s="6"/>
      <c r="B12" s="10" t="s">
        <v>209</v>
      </c>
    </row>
    <row r="14" spans="1:2" ht="34.5" customHeight="1" x14ac:dyDescent="0.25">
      <c r="A14" s="34" t="s">
        <v>8</v>
      </c>
      <c r="B14" s="34"/>
    </row>
    <row r="26" spans="2:2" x14ac:dyDescent="0.25">
      <c r="B26" t="s">
        <v>7</v>
      </c>
    </row>
  </sheetData>
  <mergeCells count="1">
    <mergeCell ref="A14:B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1B90C-2095-4585-8F5B-9C50D1551AE2}">
  <sheetPr codeName="Sheet2"/>
  <dimension ref="A1:M51"/>
  <sheetViews>
    <sheetView workbookViewId="0">
      <selection activeCell="F16" sqref="F16"/>
    </sheetView>
  </sheetViews>
  <sheetFormatPr defaultRowHeight="15" x14ac:dyDescent="0.25"/>
  <cols>
    <col min="2" max="2" width="16.140625" customWidth="1"/>
    <col min="3" max="3" width="34.5703125" customWidth="1"/>
    <col min="12" max="12" width="19.28515625" customWidth="1"/>
    <col min="13" max="13" width="35.42578125" customWidth="1"/>
  </cols>
  <sheetData>
    <row r="1" spans="1:13" x14ac:dyDescent="0.25">
      <c r="A1" t="s">
        <v>23</v>
      </c>
    </row>
    <row r="2" spans="1:13" x14ac:dyDescent="0.25">
      <c r="A2" t="s">
        <v>24</v>
      </c>
    </row>
    <row r="3" spans="1:13" x14ac:dyDescent="0.25">
      <c r="A3" t="s">
        <v>14</v>
      </c>
    </row>
    <row r="5" spans="1:13" x14ac:dyDescent="0.25">
      <c r="B5" t="s">
        <v>13</v>
      </c>
    </row>
    <row r="6" spans="1:13" ht="24" customHeight="1" x14ac:dyDescent="0.25">
      <c r="B6" s="8" t="s">
        <v>25</v>
      </c>
    </row>
    <row r="7" spans="1:13" x14ac:dyDescent="0.25">
      <c r="B7" t="s">
        <v>26</v>
      </c>
    </row>
    <row r="8" spans="1:13" x14ac:dyDescent="0.25">
      <c r="B8" t="s">
        <v>27</v>
      </c>
    </row>
    <row r="9" spans="1:13" x14ac:dyDescent="0.25">
      <c r="B9" t="s">
        <v>28</v>
      </c>
    </row>
    <row r="10" spans="1:13" x14ac:dyDescent="0.25">
      <c r="B10" t="s">
        <v>29</v>
      </c>
    </row>
    <row r="11" spans="1:13" ht="61.5" customHeight="1" x14ac:dyDescent="0.25"/>
    <row r="12" spans="1:13" x14ac:dyDescent="0.25">
      <c r="B12" s="7" t="s">
        <v>30</v>
      </c>
      <c r="C12" s="7" t="s">
        <v>15</v>
      </c>
      <c r="L12" s="13" t="s">
        <v>95</v>
      </c>
    </row>
    <row r="13" spans="1:13" x14ac:dyDescent="0.25">
      <c r="B13" s="7" t="s">
        <v>9</v>
      </c>
      <c r="C13" s="7"/>
      <c r="L13" s="7" t="s">
        <v>30</v>
      </c>
      <c r="M13" s="7" t="s">
        <v>15</v>
      </c>
    </row>
    <row r="14" spans="1:13" x14ac:dyDescent="0.25">
      <c r="B14" s="7" t="s">
        <v>10</v>
      </c>
      <c r="C14" s="7"/>
      <c r="L14" s="7" t="s">
        <v>9</v>
      </c>
      <c r="M14" s="7">
        <v>-5</v>
      </c>
    </row>
    <row r="15" spans="1:13" x14ac:dyDescent="0.25">
      <c r="B15" s="7" t="s">
        <v>11</v>
      </c>
      <c r="C15" s="7"/>
      <c r="L15" s="7" t="s">
        <v>10</v>
      </c>
      <c r="M15" s="7">
        <v>-1</v>
      </c>
    </row>
    <row r="16" spans="1:13" x14ac:dyDescent="0.25">
      <c r="L16" s="7" t="s">
        <v>11</v>
      </c>
      <c r="M16" s="7">
        <v>2</v>
      </c>
    </row>
    <row r="17" spans="2:13" x14ac:dyDescent="0.25">
      <c r="B17" s="7" t="s">
        <v>31</v>
      </c>
      <c r="C17" s="7" t="s">
        <v>15</v>
      </c>
    </row>
    <row r="18" spans="2:13" x14ac:dyDescent="0.25">
      <c r="B18" s="7" t="s">
        <v>83</v>
      </c>
      <c r="C18" s="7"/>
      <c r="L18" s="7" t="s">
        <v>31</v>
      </c>
      <c r="M18" s="7" t="s">
        <v>15</v>
      </c>
    </row>
    <row r="19" spans="2:13" x14ac:dyDescent="0.25">
      <c r="B19" s="7" t="s">
        <v>85</v>
      </c>
      <c r="C19" s="7"/>
      <c r="L19" s="7" t="s">
        <v>90</v>
      </c>
      <c r="M19" s="7" t="s">
        <v>91</v>
      </c>
    </row>
    <row r="20" spans="2:13" x14ac:dyDescent="0.25">
      <c r="B20" s="7" t="s">
        <v>86</v>
      </c>
      <c r="C20" s="7"/>
      <c r="L20" s="7" t="s">
        <v>85</v>
      </c>
      <c r="M20" s="7">
        <v>-0.74031242374328488</v>
      </c>
    </row>
    <row r="21" spans="2:13" x14ac:dyDescent="0.25">
      <c r="L21" s="7" t="s">
        <v>86</v>
      </c>
      <c r="M21" s="7">
        <v>0.54031242374328481</v>
      </c>
    </row>
    <row r="22" spans="2:13" x14ac:dyDescent="0.25">
      <c r="L22" s="12"/>
      <c r="M22" s="12"/>
    </row>
    <row r="23" spans="2:13" x14ac:dyDescent="0.25">
      <c r="L23" s="7" t="s">
        <v>30</v>
      </c>
      <c r="M23" s="7" t="s">
        <v>15</v>
      </c>
    </row>
    <row r="24" spans="2:13" x14ac:dyDescent="0.25">
      <c r="L24" s="7" t="s">
        <v>9</v>
      </c>
      <c r="M24" s="7">
        <v>1</v>
      </c>
    </row>
    <row r="25" spans="2:13" x14ac:dyDescent="0.25">
      <c r="L25" s="7" t="s">
        <v>10</v>
      </c>
      <c r="M25" s="7">
        <v>0</v>
      </c>
    </row>
    <row r="26" spans="2:13" x14ac:dyDescent="0.25">
      <c r="L26" s="7" t="s">
        <v>11</v>
      </c>
      <c r="M26" s="7">
        <v>0</v>
      </c>
    </row>
    <row r="28" spans="2:13" x14ac:dyDescent="0.25">
      <c r="L28" s="7" t="s">
        <v>31</v>
      </c>
      <c r="M28" s="7" t="s">
        <v>15</v>
      </c>
    </row>
    <row r="29" spans="2:13" x14ac:dyDescent="0.25">
      <c r="L29" s="7" t="s">
        <v>88</v>
      </c>
      <c r="M29" s="7" t="s">
        <v>89</v>
      </c>
    </row>
    <row r="30" spans="2:13" x14ac:dyDescent="0.25">
      <c r="L30" s="7" t="s">
        <v>85</v>
      </c>
      <c r="M30" s="7">
        <v>0</v>
      </c>
    </row>
    <row r="31" spans="2:13" x14ac:dyDescent="0.25">
      <c r="L31" s="7"/>
      <c r="M31" s="7"/>
    </row>
    <row r="32" spans="2:13" x14ac:dyDescent="0.25">
      <c r="L32" s="12"/>
      <c r="M32" s="12"/>
    </row>
    <row r="33" spans="12:13" x14ac:dyDescent="0.25">
      <c r="L33" s="7" t="s">
        <v>30</v>
      </c>
      <c r="M33" s="7" t="s">
        <v>15</v>
      </c>
    </row>
    <row r="34" spans="12:13" x14ac:dyDescent="0.25">
      <c r="L34" s="7" t="s">
        <v>9</v>
      </c>
      <c r="M34" s="7">
        <v>1</v>
      </c>
    </row>
    <row r="35" spans="12:13" x14ac:dyDescent="0.25">
      <c r="L35" s="7" t="s">
        <v>10</v>
      </c>
      <c r="M35" s="7">
        <v>0</v>
      </c>
    </row>
    <row r="36" spans="12:13" x14ac:dyDescent="0.25">
      <c r="L36" s="7" t="s">
        <v>11</v>
      </c>
      <c r="M36" s="7">
        <v>1</v>
      </c>
    </row>
    <row r="38" spans="12:13" x14ac:dyDescent="0.25">
      <c r="L38" s="7" t="s">
        <v>31</v>
      </c>
      <c r="M38" s="7" t="s">
        <v>15</v>
      </c>
    </row>
    <row r="39" spans="12:13" x14ac:dyDescent="0.25">
      <c r="L39" s="7" t="s">
        <v>83</v>
      </c>
      <c r="M39" s="7" t="s">
        <v>84</v>
      </c>
    </row>
    <row r="40" spans="12:13" x14ac:dyDescent="0.25">
      <c r="L40" s="7" t="s">
        <v>85</v>
      </c>
      <c r="M40" s="7" t="s">
        <v>92</v>
      </c>
    </row>
    <row r="41" spans="12:13" x14ac:dyDescent="0.25">
      <c r="L41" s="7" t="s">
        <v>86</v>
      </c>
      <c r="M41" s="7" t="s">
        <v>87</v>
      </c>
    </row>
    <row r="42" spans="12:13" x14ac:dyDescent="0.25">
      <c r="L42" s="12"/>
      <c r="M42" s="12"/>
    </row>
    <row r="43" spans="12:13" x14ac:dyDescent="0.25">
      <c r="L43" s="7" t="s">
        <v>30</v>
      </c>
      <c r="M43" s="7" t="s">
        <v>15</v>
      </c>
    </row>
    <row r="44" spans="12:13" x14ac:dyDescent="0.25">
      <c r="L44" s="7" t="s">
        <v>9</v>
      </c>
      <c r="M44" s="7">
        <v>3</v>
      </c>
    </row>
    <row r="45" spans="12:13" x14ac:dyDescent="0.25">
      <c r="L45" s="7" t="s">
        <v>10</v>
      </c>
      <c r="M45" s="7">
        <v>-1</v>
      </c>
    </row>
    <row r="46" spans="12:13" x14ac:dyDescent="0.25">
      <c r="L46" s="7" t="s">
        <v>11</v>
      </c>
      <c r="M46" s="7">
        <v>20</v>
      </c>
    </row>
    <row r="48" spans="12:13" x14ac:dyDescent="0.25">
      <c r="L48" s="7" t="s">
        <v>31</v>
      </c>
      <c r="M48" s="7" t="s">
        <v>15</v>
      </c>
    </row>
    <row r="49" spans="12:13" x14ac:dyDescent="0.25">
      <c r="L49" s="7" t="s">
        <v>83</v>
      </c>
      <c r="M49" s="7" t="s">
        <v>84</v>
      </c>
    </row>
    <row r="50" spans="12:13" x14ac:dyDescent="0.25">
      <c r="L50" s="7" t="s">
        <v>85</v>
      </c>
      <c r="M50" s="7" t="s">
        <v>93</v>
      </c>
    </row>
    <row r="51" spans="12:13" x14ac:dyDescent="0.25">
      <c r="L51" s="7" t="s">
        <v>86</v>
      </c>
      <c r="M51" s="7" t="s">
        <v>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Q4_Quad_Roots">
                <anchor moveWithCells="1" sizeWithCells="1">
                  <from>
                    <xdr:col>1</xdr:col>
                    <xdr:colOff>285750</xdr:colOff>
                    <xdr:row>10</xdr:row>
                    <xdr:rowOff>104775</xdr:rowOff>
                  </from>
                  <to>
                    <xdr:col>6</xdr:col>
                    <xdr:colOff>428625</xdr:colOff>
                    <xdr:row>10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22740-92A2-4E7C-954C-731B3734A2C4}">
  <sheetPr codeName="Sheet4"/>
  <dimension ref="A1:R48"/>
  <sheetViews>
    <sheetView topLeftCell="A4" workbookViewId="0">
      <selection activeCell="T28" sqref="T28"/>
    </sheetView>
  </sheetViews>
  <sheetFormatPr defaultRowHeight="15" x14ac:dyDescent="0.25"/>
  <cols>
    <col min="3" max="3" width="15.140625" customWidth="1"/>
    <col min="4" max="4" width="16.28515625" customWidth="1"/>
    <col min="5" max="5" width="13.42578125" customWidth="1"/>
    <col min="6" max="6" width="21.5703125" customWidth="1"/>
    <col min="7" max="7" width="31.42578125" customWidth="1"/>
    <col min="18" max="18" width="12.5703125" bestFit="1" customWidth="1"/>
  </cols>
  <sheetData>
    <row r="1" spans="1:5" x14ac:dyDescent="0.25">
      <c r="A1" t="s">
        <v>96</v>
      </c>
    </row>
    <row r="3" spans="1:5" x14ac:dyDescent="0.25">
      <c r="A3" t="s">
        <v>97</v>
      </c>
    </row>
    <row r="4" spans="1:5" ht="51.75" customHeight="1" x14ac:dyDescent="0.25"/>
    <row r="5" spans="1:5" x14ac:dyDescent="0.25">
      <c r="A5" t="s">
        <v>98</v>
      </c>
    </row>
    <row r="6" spans="1:5" x14ac:dyDescent="0.25">
      <c r="A6" t="s">
        <v>99</v>
      </c>
    </row>
    <row r="7" spans="1:5" x14ac:dyDescent="0.25">
      <c r="A7" t="s">
        <v>14</v>
      </c>
    </row>
    <row r="9" spans="1:5" x14ac:dyDescent="0.25">
      <c r="B9" t="s">
        <v>100</v>
      </c>
    </row>
    <row r="10" spans="1:5" x14ac:dyDescent="0.25">
      <c r="B10" t="s">
        <v>101</v>
      </c>
    </row>
    <row r="11" spans="1:5" ht="46.5" customHeight="1" x14ac:dyDescent="0.25">
      <c r="B11" s="14" t="s">
        <v>102</v>
      </c>
    </row>
    <row r="12" spans="1:5" ht="46.5" customHeight="1" x14ac:dyDescent="0.25">
      <c r="B12" s="14" t="s">
        <v>103</v>
      </c>
    </row>
    <row r="14" spans="1:5" x14ac:dyDescent="0.25">
      <c r="D14" s="39" t="s">
        <v>106</v>
      </c>
      <c r="E14" s="39"/>
    </row>
    <row r="15" spans="1:5" x14ac:dyDescent="0.25">
      <c r="D15" s="7" t="s">
        <v>9</v>
      </c>
      <c r="E15" s="7">
        <v>1</v>
      </c>
    </row>
    <row r="16" spans="1:5" x14ac:dyDescent="0.25">
      <c r="D16" s="7" t="s">
        <v>10</v>
      </c>
      <c r="E16" s="7">
        <v>8</v>
      </c>
    </row>
    <row r="17" spans="1:7" x14ac:dyDescent="0.25">
      <c r="D17" s="7" t="s">
        <v>105</v>
      </c>
      <c r="E17" s="7">
        <v>7</v>
      </c>
    </row>
    <row r="18" spans="1:7" ht="22.5" customHeight="1" x14ac:dyDescent="0.25">
      <c r="D18" s="7"/>
      <c r="E18" s="7">
        <f>(E16-E15)/E17</f>
        <v>1</v>
      </c>
    </row>
    <row r="20" spans="1:7" ht="64.5" customHeight="1" x14ac:dyDescent="0.25">
      <c r="A20" s="15" t="s">
        <v>107</v>
      </c>
      <c r="B20" s="7"/>
      <c r="C20" s="7"/>
      <c r="D20" s="7"/>
      <c r="E20" s="16" t="s">
        <v>104</v>
      </c>
      <c r="F20" s="7"/>
      <c r="G20" s="7"/>
    </row>
    <row r="21" spans="1:7" x14ac:dyDescent="0.25">
      <c r="A21" s="35" t="s">
        <v>109</v>
      </c>
      <c r="B21" s="7">
        <v>0</v>
      </c>
      <c r="C21" s="7">
        <f>$E$15+B21*$E$18</f>
        <v>1</v>
      </c>
      <c r="D21" s="7">
        <f>(C21^2)*LN(C21)</f>
        <v>0</v>
      </c>
      <c r="E21" s="7">
        <v>1</v>
      </c>
      <c r="F21" s="7">
        <f>D21*E21</f>
        <v>0</v>
      </c>
      <c r="G21" s="18">
        <f>E18*1/3*SUM(F21:F25)</f>
        <v>53.274721002503533</v>
      </c>
    </row>
    <row r="22" spans="1:7" x14ac:dyDescent="0.25">
      <c r="A22" s="35"/>
      <c r="B22" s="7">
        <v>1</v>
      </c>
      <c r="C22" s="7">
        <f t="shared" ref="C22:C29" si="0">$E$15+B22*$E$18</f>
        <v>2</v>
      </c>
      <c r="D22" s="7">
        <f t="shared" ref="D22:D25" si="1">(C22^2)*LN(C22)</f>
        <v>2.7725887222397811</v>
      </c>
      <c r="E22" s="7">
        <v>4</v>
      </c>
      <c r="F22" s="7">
        <f t="shared" ref="F22:F28" si="2">D22*E22</f>
        <v>11.090354888959125</v>
      </c>
      <c r="G22" s="7"/>
    </row>
    <row r="23" spans="1:7" x14ac:dyDescent="0.25">
      <c r="A23" s="35"/>
      <c r="B23" s="7">
        <v>2</v>
      </c>
      <c r="C23" s="7">
        <f t="shared" si="0"/>
        <v>3</v>
      </c>
      <c r="D23" s="7">
        <f t="shared" si="1"/>
        <v>9.8875105980129874</v>
      </c>
      <c r="E23" s="7">
        <v>2</v>
      </c>
      <c r="F23" s="7">
        <f t="shared" si="2"/>
        <v>19.775021196025975</v>
      </c>
      <c r="G23" s="7"/>
    </row>
    <row r="24" spans="1:7" x14ac:dyDescent="0.25">
      <c r="A24" s="35"/>
      <c r="B24" s="7">
        <v>3</v>
      </c>
      <c r="C24" s="7">
        <f t="shared" si="0"/>
        <v>4</v>
      </c>
      <c r="D24" s="7">
        <f t="shared" si="1"/>
        <v>22.180709777918249</v>
      </c>
      <c r="E24" s="7">
        <v>4</v>
      </c>
      <c r="F24" s="7">
        <f t="shared" si="2"/>
        <v>88.722839111672997</v>
      </c>
      <c r="G24" s="7"/>
    </row>
    <row r="25" spans="1:7" x14ac:dyDescent="0.25">
      <c r="A25" s="35"/>
      <c r="B25" s="7">
        <v>4</v>
      </c>
      <c r="C25" s="7">
        <f t="shared" si="0"/>
        <v>5</v>
      </c>
      <c r="D25" s="7">
        <f t="shared" si="1"/>
        <v>40.235947810852508</v>
      </c>
      <c r="E25" s="7">
        <v>1</v>
      </c>
      <c r="F25" s="7">
        <f t="shared" si="2"/>
        <v>40.235947810852508</v>
      </c>
      <c r="G25" s="7"/>
    </row>
    <row r="26" spans="1:7" x14ac:dyDescent="0.25">
      <c r="A26" s="35" t="s">
        <v>108</v>
      </c>
      <c r="B26" s="7">
        <v>4</v>
      </c>
      <c r="C26" s="7">
        <f t="shared" si="0"/>
        <v>5</v>
      </c>
      <c r="D26" s="7">
        <f>(C26^2)*LN(C26)</f>
        <v>40.235947810852508</v>
      </c>
      <c r="E26" s="7">
        <v>1</v>
      </c>
      <c r="F26" s="7">
        <f t="shared" si="2"/>
        <v>40.235947810852508</v>
      </c>
      <c r="G26" s="19">
        <f>E18*3/8*SUM(F26:F29)</f>
        <v>244.82963289979614</v>
      </c>
    </row>
    <row r="27" spans="1:7" x14ac:dyDescent="0.25">
      <c r="A27" s="35"/>
      <c r="B27" s="7">
        <v>5</v>
      </c>
      <c r="C27" s="7">
        <f t="shared" si="0"/>
        <v>6</v>
      </c>
      <c r="D27" s="7">
        <f t="shared" ref="D27:D29" si="3">(C27^2)*LN(C27)</f>
        <v>64.503340892209977</v>
      </c>
      <c r="E27" s="7">
        <v>3</v>
      </c>
      <c r="F27" s="7">
        <f t="shared" si="2"/>
        <v>193.51002267662994</v>
      </c>
      <c r="G27" s="7"/>
    </row>
    <row r="28" spans="1:7" x14ac:dyDescent="0.25">
      <c r="A28" s="35"/>
      <c r="B28" s="7">
        <v>6</v>
      </c>
      <c r="C28" s="7">
        <f t="shared" si="0"/>
        <v>7</v>
      </c>
      <c r="D28" s="7">
        <f t="shared" si="3"/>
        <v>95.349597303710354</v>
      </c>
      <c r="E28" s="7">
        <v>3</v>
      </c>
      <c r="F28" s="7">
        <f t="shared" si="2"/>
        <v>286.04879191113105</v>
      </c>
      <c r="G28" s="7"/>
    </row>
    <row r="29" spans="1:7" x14ac:dyDescent="0.25">
      <c r="A29" s="35"/>
      <c r="B29" s="7">
        <v>7</v>
      </c>
      <c r="C29" s="7">
        <f t="shared" si="0"/>
        <v>8</v>
      </c>
      <c r="D29" s="7">
        <f t="shared" si="3"/>
        <v>133.08425866750949</v>
      </c>
      <c r="E29" s="17">
        <v>1</v>
      </c>
      <c r="F29" s="7">
        <f>D29*E29</f>
        <v>133.08425866750949</v>
      </c>
      <c r="G29" s="7"/>
    </row>
    <row r="30" spans="1:7" x14ac:dyDescent="0.25">
      <c r="G30" s="7" t="s">
        <v>110</v>
      </c>
    </row>
    <row r="31" spans="1:7" x14ac:dyDescent="0.25">
      <c r="G31" s="20">
        <f>G21+G26</f>
        <v>298.10435390229969</v>
      </c>
    </row>
    <row r="33" spans="1:18" ht="66" customHeight="1" x14ac:dyDescent="0.25">
      <c r="A33" s="15" t="s">
        <v>107</v>
      </c>
      <c r="B33" s="7"/>
      <c r="C33" s="7"/>
      <c r="D33" s="7"/>
      <c r="E33" s="16" t="s">
        <v>104</v>
      </c>
      <c r="F33" s="7"/>
      <c r="G33" s="7"/>
    </row>
    <row r="34" spans="1:18" x14ac:dyDescent="0.25">
      <c r="A34" s="36" t="s">
        <v>108</v>
      </c>
      <c r="B34" s="7">
        <v>0</v>
      </c>
      <c r="C34" s="7">
        <f>$E$15+B34*$E$18</f>
        <v>1</v>
      </c>
      <c r="D34" s="7">
        <f>(C34^2)*LN(C34)</f>
        <v>0</v>
      </c>
      <c r="E34" s="7">
        <v>1</v>
      </c>
      <c r="F34" s="7">
        <f>D34*E34</f>
        <v>0</v>
      </c>
      <c r="G34" s="19">
        <f>E18*3/8*SUM(F34:F37)</f>
        <v>22.560377902003708</v>
      </c>
    </row>
    <row r="35" spans="1:18" x14ac:dyDescent="0.25">
      <c r="A35" s="37"/>
      <c r="B35" s="7">
        <v>1</v>
      </c>
      <c r="C35" s="7">
        <f t="shared" ref="C35:C42" si="4">$E$15+B35*$E$18</f>
        <v>2</v>
      </c>
      <c r="D35" s="7">
        <f t="shared" ref="D35:D38" si="5">(C35^2)*LN(C35)</f>
        <v>2.7725887222397811</v>
      </c>
      <c r="E35" s="7">
        <v>3</v>
      </c>
      <c r="F35" s="7">
        <f t="shared" ref="F35:F41" si="6">D35*E35</f>
        <v>8.317766166719343</v>
      </c>
      <c r="G35" s="7"/>
    </row>
    <row r="36" spans="1:18" x14ac:dyDescent="0.25">
      <c r="A36" s="37"/>
      <c r="B36" s="7">
        <v>2</v>
      </c>
      <c r="C36" s="7">
        <f t="shared" si="4"/>
        <v>3</v>
      </c>
      <c r="D36" s="7">
        <f t="shared" si="5"/>
        <v>9.8875105980129874</v>
      </c>
      <c r="E36" s="7">
        <v>3</v>
      </c>
      <c r="F36" s="7">
        <f t="shared" si="6"/>
        <v>29.662531794038962</v>
      </c>
      <c r="G36" s="7"/>
    </row>
    <row r="37" spans="1:18" x14ac:dyDescent="0.25">
      <c r="A37" s="38"/>
      <c r="B37" s="7">
        <v>3</v>
      </c>
      <c r="C37" s="7">
        <f t="shared" si="4"/>
        <v>4</v>
      </c>
      <c r="D37" s="7">
        <f t="shared" si="5"/>
        <v>22.180709777918249</v>
      </c>
      <c r="E37" s="7">
        <v>1</v>
      </c>
      <c r="F37" s="7">
        <f t="shared" si="6"/>
        <v>22.180709777918249</v>
      </c>
      <c r="G37" s="7"/>
    </row>
    <row r="38" spans="1:18" x14ac:dyDescent="0.25">
      <c r="A38" s="36" t="s">
        <v>109</v>
      </c>
      <c r="B38" s="7">
        <v>3</v>
      </c>
      <c r="C38" s="7">
        <f t="shared" si="4"/>
        <v>4</v>
      </c>
      <c r="D38" s="7">
        <f t="shared" si="5"/>
        <v>22.180709777918249</v>
      </c>
      <c r="E38" s="7">
        <v>1</v>
      </c>
      <c r="F38" s="7">
        <f t="shared" si="6"/>
        <v>22.180709777918249</v>
      </c>
      <c r="G38" s="18">
        <f>E18*1/3*SUM(F38:F42)</f>
        <v>275.53794356269975</v>
      </c>
    </row>
    <row r="39" spans="1:18" x14ac:dyDescent="0.25">
      <c r="A39" s="37"/>
      <c r="B39" s="7">
        <v>4</v>
      </c>
      <c r="C39" s="7">
        <f t="shared" si="4"/>
        <v>5</v>
      </c>
      <c r="D39" s="7">
        <f>(C39^2)*LN(C39)</f>
        <v>40.235947810852508</v>
      </c>
      <c r="E39" s="7">
        <v>4</v>
      </c>
      <c r="F39" s="7">
        <f t="shared" si="6"/>
        <v>160.94379124341003</v>
      </c>
      <c r="G39" s="7"/>
    </row>
    <row r="40" spans="1:18" x14ac:dyDescent="0.25">
      <c r="A40" s="37"/>
      <c r="B40" s="7">
        <v>5</v>
      </c>
      <c r="C40" s="7">
        <f t="shared" si="4"/>
        <v>6</v>
      </c>
      <c r="D40" s="7">
        <f t="shared" ref="D40:D42" si="7">(C40^2)*LN(C40)</f>
        <v>64.503340892209977</v>
      </c>
      <c r="E40" s="7">
        <v>2</v>
      </c>
      <c r="F40" s="7">
        <f t="shared" si="6"/>
        <v>129.00668178441995</v>
      </c>
      <c r="G40" s="7"/>
    </row>
    <row r="41" spans="1:18" x14ac:dyDescent="0.25">
      <c r="A41" s="37"/>
      <c r="B41" s="7">
        <v>6</v>
      </c>
      <c r="C41" s="7">
        <f t="shared" si="4"/>
        <v>7</v>
      </c>
      <c r="D41" s="7">
        <f t="shared" si="7"/>
        <v>95.349597303710354</v>
      </c>
      <c r="E41" s="7">
        <v>4</v>
      </c>
      <c r="F41" s="7">
        <f t="shared" si="6"/>
        <v>381.39838921484142</v>
      </c>
      <c r="G41" s="7"/>
    </row>
    <row r="42" spans="1:18" x14ac:dyDescent="0.25">
      <c r="A42" s="38"/>
      <c r="B42" s="7">
        <v>7</v>
      </c>
      <c r="C42" s="7">
        <f t="shared" si="4"/>
        <v>8</v>
      </c>
      <c r="D42" s="7">
        <f t="shared" si="7"/>
        <v>133.08425866750949</v>
      </c>
      <c r="E42" s="17">
        <v>1</v>
      </c>
      <c r="F42" s="7">
        <f>D42*E42</f>
        <v>133.08425866750949</v>
      </c>
      <c r="G42" s="7"/>
    </row>
    <row r="43" spans="1:18" x14ac:dyDescent="0.25">
      <c r="G43" s="7" t="s">
        <v>110</v>
      </c>
      <c r="R43" s="22"/>
    </row>
    <row r="44" spans="1:18" x14ac:dyDescent="0.25">
      <c r="G44" s="20">
        <f>G34+G38</f>
        <v>298.09832146470347</v>
      </c>
      <c r="R44" s="22"/>
    </row>
    <row r="46" spans="1:18" x14ac:dyDescent="0.25">
      <c r="B46" t="s">
        <v>111</v>
      </c>
    </row>
    <row r="47" spans="1:18" x14ac:dyDescent="0.25">
      <c r="B47" t="s">
        <v>119</v>
      </c>
    </row>
    <row r="48" spans="1:18" x14ac:dyDescent="0.25">
      <c r="B48" t="s">
        <v>112</v>
      </c>
    </row>
  </sheetData>
  <mergeCells count="5">
    <mergeCell ref="A21:A25"/>
    <mergeCell ref="A26:A29"/>
    <mergeCell ref="A38:A42"/>
    <mergeCell ref="A34:A37"/>
    <mergeCell ref="D14:E1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056EE-D283-46B4-8AE2-53CB1B3A6735}">
  <sheetPr codeName="Sheet5"/>
  <dimension ref="A1:P35"/>
  <sheetViews>
    <sheetView workbookViewId="0">
      <selection activeCell="H11" sqref="H11"/>
    </sheetView>
  </sheetViews>
  <sheetFormatPr defaultRowHeight="15" x14ac:dyDescent="0.25"/>
  <cols>
    <col min="4" max="4" width="15.140625" customWidth="1"/>
    <col min="5" max="5" width="16.28515625" customWidth="1"/>
    <col min="6" max="6" width="13.42578125" customWidth="1"/>
    <col min="7" max="7" width="21.5703125" customWidth="1"/>
    <col min="8" max="8" width="31.42578125" customWidth="1"/>
    <col min="12" max="12" width="15.140625" customWidth="1"/>
    <col min="13" max="13" width="16.28515625" customWidth="1"/>
    <col min="14" max="14" width="13.42578125" customWidth="1"/>
    <col min="15" max="15" width="21.5703125" customWidth="1"/>
    <col min="16" max="16" width="31.42578125" customWidth="1"/>
  </cols>
  <sheetData>
    <row r="1" spans="1:16" x14ac:dyDescent="0.25">
      <c r="A1" t="s">
        <v>113</v>
      </c>
    </row>
    <row r="2" spans="1:16" x14ac:dyDescent="0.25">
      <c r="A2" t="s">
        <v>116</v>
      </c>
    </row>
    <row r="3" spans="1:16" ht="57" customHeight="1" x14ac:dyDescent="0.25"/>
    <row r="4" spans="1:16" x14ac:dyDescent="0.25">
      <c r="A4" t="s">
        <v>114</v>
      </c>
    </row>
    <row r="5" spans="1:16" x14ac:dyDescent="0.25">
      <c r="A5" t="s">
        <v>115</v>
      </c>
    </row>
    <row r="7" spans="1:16" x14ac:dyDescent="0.25">
      <c r="B7" t="s">
        <v>13</v>
      </c>
    </row>
    <row r="8" spans="1:16" x14ac:dyDescent="0.25">
      <c r="B8" t="s">
        <v>120</v>
      </c>
    </row>
    <row r="9" spans="1:16" x14ac:dyDescent="0.25">
      <c r="B9" t="s">
        <v>117</v>
      </c>
    </row>
    <row r="10" spans="1:16" x14ac:dyDescent="0.25">
      <c r="B10" t="s">
        <v>118</v>
      </c>
    </row>
    <row r="11" spans="1:16" ht="52.5" customHeight="1" x14ac:dyDescent="0.25">
      <c r="J11" s="25" t="s">
        <v>121</v>
      </c>
    </row>
    <row r="12" spans="1:16" x14ac:dyDescent="0.25">
      <c r="D12" s="39" t="s">
        <v>106</v>
      </c>
      <c r="E12" s="39"/>
      <c r="L12" s="39" t="s">
        <v>106</v>
      </c>
      <c r="M12" s="39"/>
    </row>
    <row r="13" spans="1:16" x14ac:dyDescent="0.25">
      <c r="A13" s="21"/>
      <c r="B13" s="21"/>
      <c r="C13" s="21"/>
      <c r="D13" s="7" t="s">
        <v>9</v>
      </c>
      <c r="E13" s="7">
        <v>1</v>
      </c>
      <c r="F13" s="21"/>
      <c r="G13" s="21"/>
      <c r="H13" s="21"/>
      <c r="I13" s="21"/>
      <c r="J13" s="21"/>
      <c r="K13" s="21"/>
      <c r="L13" s="7" t="s">
        <v>9</v>
      </c>
      <c r="M13" s="7">
        <v>1</v>
      </c>
      <c r="N13" s="21"/>
      <c r="O13" s="21"/>
      <c r="P13" s="21"/>
    </row>
    <row r="14" spans="1:16" x14ac:dyDescent="0.25">
      <c r="A14" s="21"/>
      <c r="B14" s="21"/>
      <c r="C14" s="21"/>
      <c r="D14" s="7" t="s">
        <v>10</v>
      </c>
      <c r="E14" s="7">
        <v>8</v>
      </c>
      <c r="F14" s="21"/>
      <c r="G14" s="21"/>
      <c r="H14" s="21"/>
      <c r="I14" s="21"/>
      <c r="J14" s="21"/>
      <c r="K14" s="21"/>
      <c r="L14" s="7" t="s">
        <v>10</v>
      </c>
      <c r="M14" s="7">
        <v>8</v>
      </c>
      <c r="N14" s="21"/>
      <c r="O14" s="21"/>
      <c r="P14" s="21"/>
    </row>
    <row r="15" spans="1:16" x14ac:dyDescent="0.25">
      <c r="A15" s="21"/>
      <c r="B15" s="21"/>
      <c r="C15" s="21"/>
      <c r="D15" s="7" t="s">
        <v>105</v>
      </c>
      <c r="E15" s="7">
        <v>7</v>
      </c>
      <c r="F15" s="21"/>
      <c r="G15" s="21"/>
      <c r="H15" s="21"/>
      <c r="I15" s="21"/>
      <c r="J15" s="21"/>
      <c r="K15" s="21"/>
      <c r="L15" s="7" t="s">
        <v>105</v>
      </c>
      <c r="M15" s="7">
        <v>7</v>
      </c>
      <c r="N15" s="21"/>
      <c r="O15" s="21"/>
      <c r="P15" s="21"/>
    </row>
    <row r="16" spans="1:16" ht="19.5" customHeight="1" x14ac:dyDescent="0.25">
      <c r="A16" s="21"/>
      <c r="B16" s="21"/>
      <c r="C16" s="21"/>
      <c r="D16" s="7"/>
      <c r="E16" s="7">
        <v>1</v>
      </c>
      <c r="F16" s="21"/>
      <c r="G16" s="21"/>
      <c r="H16" s="21"/>
      <c r="I16" s="21"/>
      <c r="J16" s="21"/>
      <c r="K16" s="21"/>
      <c r="L16" s="7"/>
      <c r="M16" s="7">
        <v>1</v>
      </c>
      <c r="N16" s="21"/>
      <c r="O16" s="21"/>
      <c r="P16" s="21"/>
    </row>
    <row r="17" spans="1:16" ht="69.75" customHeight="1" x14ac:dyDescent="0.25">
      <c r="A17" s="21"/>
      <c r="B17" s="15" t="s">
        <v>107</v>
      </c>
      <c r="C17" s="7"/>
      <c r="D17" s="7"/>
      <c r="E17" s="7"/>
      <c r="F17" s="16" t="s">
        <v>104</v>
      </c>
      <c r="G17" s="7"/>
      <c r="H17" s="7"/>
      <c r="I17" s="21"/>
      <c r="J17" s="15" t="s">
        <v>107</v>
      </c>
      <c r="K17" s="7"/>
      <c r="L17" s="7"/>
      <c r="M17" s="7"/>
      <c r="N17" s="16" t="s">
        <v>104</v>
      </c>
      <c r="O17" s="7"/>
      <c r="P17" s="7"/>
    </row>
    <row r="18" spans="1:16" x14ac:dyDescent="0.25">
      <c r="A18" s="21"/>
      <c r="B18" s="23"/>
      <c r="C18" s="7"/>
      <c r="D18" s="7"/>
      <c r="E18" s="24"/>
      <c r="F18" s="7"/>
      <c r="G18" s="24"/>
      <c r="H18" s="28"/>
      <c r="I18" s="21"/>
      <c r="J18" s="23" t="s">
        <v>109</v>
      </c>
      <c r="K18" s="7">
        <v>0</v>
      </c>
      <c r="L18" s="7">
        <v>1</v>
      </c>
      <c r="M18" s="24">
        <v>0</v>
      </c>
      <c r="N18" s="7">
        <v>1</v>
      </c>
      <c r="O18" s="24">
        <v>0</v>
      </c>
      <c r="P18" s="28">
        <v>53.274721002503533</v>
      </c>
    </row>
    <row r="19" spans="1:16" x14ac:dyDescent="0.25">
      <c r="A19" s="21"/>
      <c r="B19" s="23"/>
      <c r="C19" s="7"/>
      <c r="D19" s="7"/>
      <c r="E19" s="24"/>
      <c r="F19" s="7"/>
      <c r="G19" s="24"/>
      <c r="H19" s="7"/>
      <c r="I19" s="21"/>
      <c r="J19" s="23" t="s">
        <v>109</v>
      </c>
      <c r="K19" s="7">
        <v>1</v>
      </c>
      <c r="L19" s="7">
        <v>2</v>
      </c>
      <c r="M19" s="24">
        <v>2.7725887222397811</v>
      </c>
      <c r="N19" s="7">
        <v>4</v>
      </c>
      <c r="O19" s="24">
        <v>11.090354888959125</v>
      </c>
      <c r="P19" s="7"/>
    </row>
    <row r="20" spans="1:16" x14ac:dyDescent="0.25">
      <c r="A20" s="21"/>
      <c r="B20" s="23"/>
      <c r="C20" s="7"/>
      <c r="D20" s="7"/>
      <c r="E20" s="24"/>
      <c r="F20" s="7"/>
      <c r="G20" s="24"/>
      <c r="H20" s="7"/>
      <c r="I20" s="21"/>
      <c r="J20" s="23" t="s">
        <v>109</v>
      </c>
      <c r="K20" s="7">
        <v>2</v>
      </c>
      <c r="L20" s="7">
        <v>3</v>
      </c>
      <c r="M20" s="24">
        <v>9.8875105980129874</v>
      </c>
      <c r="N20" s="7">
        <v>2</v>
      </c>
      <c r="O20" s="24">
        <v>19.775021196025975</v>
      </c>
      <c r="P20" s="7"/>
    </row>
    <row r="21" spans="1:16" x14ac:dyDescent="0.25">
      <c r="A21" s="21"/>
      <c r="B21" s="23"/>
      <c r="C21" s="7"/>
      <c r="D21" s="7"/>
      <c r="E21" s="24"/>
      <c r="F21" s="7"/>
      <c r="G21" s="24"/>
      <c r="H21" s="7"/>
      <c r="I21" s="21"/>
      <c r="J21" s="23" t="s">
        <v>109</v>
      </c>
      <c r="K21" s="7">
        <v>3</v>
      </c>
      <c r="L21" s="7">
        <v>4</v>
      </c>
      <c r="M21" s="24">
        <v>22.180709777918249</v>
      </c>
      <c r="N21" s="7">
        <v>4</v>
      </c>
      <c r="O21" s="24">
        <v>88.722839111672997</v>
      </c>
      <c r="P21" s="7"/>
    </row>
    <row r="22" spans="1:16" x14ac:dyDescent="0.25">
      <c r="A22" s="21"/>
      <c r="B22" s="23"/>
      <c r="C22" s="7"/>
      <c r="D22" s="7"/>
      <c r="E22" s="24"/>
      <c r="F22" s="7"/>
      <c r="G22" s="24"/>
      <c r="H22" s="7"/>
      <c r="I22" s="21"/>
      <c r="J22" s="23" t="s">
        <v>109</v>
      </c>
      <c r="K22" s="7">
        <v>4</v>
      </c>
      <c r="L22" s="7">
        <v>5</v>
      </c>
      <c r="M22" s="24">
        <v>40.235947810852508</v>
      </c>
      <c r="N22" s="7">
        <v>1</v>
      </c>
      <c r="O22" s="24">
        <v>40.235947810852508</v>
      </c>
      <c r="P22" s="7"/>
    </row>
    <row r="23" spans="1:16" x14ac:dyDescent="0.25">
      <c r="A23" s="21"/>
      <c r="B23" s="23"/>
      <c r="C23" s="7"/>
      <c r="D23" s="7"/>
      <c r="E23" s="24"/>
      <c r="F23" s="7"/>
      <c r="G23" s="24"/>
      <c r="H23" s="27"/>
      <c r="I23" s="21"/>
      <c r="J23" s="23" t="s">
        <v>108</v>
      </c>
      <c r="K23" s="7">
        <v>4</v>
      </c>
      <c r="L23" s="7">
        <v>5</v>
      </c>
      <c r="M23" s="24">
        <v>40.235947810852508</v>
      </c>
      <c r="N23" s="7">
        <v>1</v>
      </c>
      <c r="O23" s="24">
        <v>40.235947810852508</v>
      </c>
      <c r="P23" s="27">
        <v>244.82963289979614</v>
      </c>
    </row>
    <row r="24" spans="1:16" x14ac:dyDescent="0.25">
      <c r="A24" s="21"/>
      <c r="B24" s="23"/>
      <c r="C24" s="7"/>
      <c r="D24" s="7"/>
      <c r="E24" s="24"/>
      <c r="F24" s="7"/>
      <c r="G24" s="24"/>
      <c r="H24" s="7"/>
      <c r="I24" s="21"/>
      <c r="J24" s="23" t="s">
        <v>108</v>
      </c>
      <c r="K24" s="7">
        <v>5</v>
      </c>
      <c r="L24" s="7">
        <v>6</v>
      </c>
      <c r="M24" s="24">
        <v>64.503340892209977</v>
      </c>
      <c r="N24" s="7">
        <v>3</v>
      </c>
      <c r="O24" s="24">
        <v>193.51002267662994</v>
      </c>
      <c r="P24" s="7"/>
    </row>
    <row r="25" spans="1:16" x14ac:dyDescent="0.25">
      <c r="A25" s="21"/>
      <c r="B25" s="23"/>
      <c r="C25" s="7"/>
      <c r="D25" s="7"/>
      <c r="E25" s="24"/>
      <c r="F25" s="7"/>
      <c r="G25" s="24"/>
      <c r="H25" s="7"/>
      <c r="I25" s="21"/>
      <c r="J25" s="23" t="s">
        <v>108</v>
      </c>
      <c r="K25" s="7">
        <v>6</v>
      </c>
      <c r="L25" s="7">
        <v>7</v>
      </c>
      <c r="M25" s="24">
        <v>95.349597303710354</v>
      </c>
      <c r="N25" s="7">
        <v>3</v>
      </c>
      <c r="O25" s="24">
        <v>286.04879191113105</v>
      </c>
      <c r="P25" s="7"/>
    </row>
    <row r="26" spans="1:16" x14ac:dyDescent="0.25">
      <c r="A26" s="21"/>
      <c r="B26" s="23"/>
      <c r="C26" s="7"/>
      <c r="D26" s="7"/>
      <c r="E26" s="24"/>
      <c r="F26" s="7"/>
      <c r="G26" s="24"/>
      <c r="H26" s="7"/>
      <c r="I26" s="21"/>
      <c r="J26" s="23" t="s">
        <v>108</v>
      </c>
      <c r="K26" s="7">
        <v>7</v>
      </c>
      <c r="L26" s="7">
        <v>8</v>
      </c>
      <c r="M26" s="24">
        <v>133.08425866750949</v>
      </c>
      <c r="N26" s="7">
        <v>1</v>
      </c>
      <c r="O26" s="24">
        <v>133.08425866750949</v>
      </c>
      <c r="P26" s="7"/>
    </row>
    <row r="27" spans="1:16" x14ac:dyDescent="0.25">
      <c r="A27" s="21"/>
      <c r="B27" s="21"/>
      <c r="C27" s="21"/>
      <c r="D27" s="21"/>
      <c r="E27" s="21"/>
      <c r="F27" s="21"/>
      <c r="G27" s="21"/>
      <c r="H27" s="7" t="s">
        <v>110</v>
      </c>
      <c r="I27" s="21"/>
      <c r="J27" s="21"/>
      <c r="K27" s="21"/>
      <c r="L27" s="21"/>
      <c r="M27" s="21"/>
      <c r="N27" s="21"/>
      <c r="O27" s="21"/>
      <c r="P27" s="7" t="s">
        <v>110</v>
      </c>
    </row>
    <row r="28" spans="1:16" x14ac:dyDescent="0.25">
      <c r="A28" s="21"/>
      <c r="B28" s="21"/>
      <c r="C28" s="21"/>
      <c r="D28" s="21"/>
      <c r="E28" s="21"/>
      <c r="F28" s="21"/>
      <c r="G28" s="21"/>
      <c r="H28" s="20"/>
      <c r="I28" s="21"/>
      <c r="J28" s="21"/>
      <c r="K28" s="21"/>
      <c r="L28" s="21"/>
      <c r="M28" s="21"/>
      <c r="N28" s="21"/>
      <c r="O28" s="21"/>
      <c r="P28" s="20">
        <v>298.10435390229969</v>
      </c>
    </row>
    <row r="29" spans="1:16" x14ac:dyDescent="0.25">
      <c r="A29" s="21"/>
      <c r="B29" s="21"/>
      <c r="C29" s="21"/>
      <c r="D29" s="21"/>
      <c r="E29" s="21"/>
      <c r="F29" s="21"/>
      <c r="G29" s="21"/>
      <c r="H29" s="21"/>
      <c r="I29" s="21"/>
    </row>
    <row r="30" spans="1:16" x14ac:dyDescent="0.25">
      <c r="A30" s="21"/>
      <c r="B30" s="21"/>
      <c r="C30" s="21"/>
      <c r="D30" s="21"/>
      <c r="E30" s="21"/>
      <c r="F30" s="21"/>
      <c r="G30" s="21"/>
      <c r="H30" s="21"/>
      <c r="I30" s="21"/>
    </row>
    <row r="31" spans="1:16" x14ac:dyDescent="0.25">
      <c r="A31" s="21"/>
      <c r="B31" s="21"/>
      <c r="C31" s="21"/>
      <c r="D31" s="21"/>
      <c r="E31" s="21"/>
      <c r="F31" s="21"/>
      <c r="G31" s="21"/>
      <c r="H31" s="21"/>
      <c r="I31" s="21"/>
    </row>
    <row r="32" spans="1:16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1:9" x14ac:dyDescent="0.25">
      <c r="A33" s="21"/>
      <c r="B33" s="21"/>
      <c r="C33" s="21"/>
      <c r="D33" s="21"/>
      <c r="E33" s="21"/>
      <c r="F33" s="21"/>
      <c r="G33" s="21"/>
      <c r="H33" s="21"/>
      <c r="I33" s="21"/>
    </row>
    <row r="34" spans="1:9" x14ac:dyDescent="0.25">
      <c r="A34" s="21"/>
      <c r="B34" s="21"/>
      <c r="C34" s="21"/>
      <c r="D34" s="21"/>
      <c r="E34" s="21"/>
      <c r="F34" s="21"/>
      <c r="G34" s="21"/>
      <c r="H34" s="21"/>
      <c r="I34" s="21"/>
    </row>
    <row r="35" spans="1:9" x14ac:dyDescent="0.2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2">
    <mergeCell ref="D12:E12"/>
    <mergeCell ref="L12:M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Q5b_Simp_Rule_VBA">
                <anchor moveWithCells="1" sizeWithCells="1">
                  <from>
                    <xdr:col>1</xdr:col>
                    <xdr:colOff>323850</xdr:colOff>
                    <xdr:row>10</xdr:row>
                    <xdr:rowOff>104775</xdr:rowOff>
                  </from>
                  <to>
                    <xdr:col>5</xdr:col>
                    <xdr:colOff>609600</xdr:colOff>
                    <xdr:row>10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322EA-4AD4-455E-AEC6-704CEC3A2C13}">
  <sheetPr codeName="Sheet6"/>
  <dimension ref="A1:P252"/>
  <sheetViews>
    <sheetView workbookViewId="0">
      <selection activeCell="H18" sqref="H18"/>
    </sheetView>
  </sheetViews>
  <sheetFormatPr defaultRowHeight="15" x14ac:dyDescent="0.25"/>
  <cols>
    <col min="2" max="2" width="9.140625" style="30"/>
    <col min="4" max="4" width="15.140625" customWidth="1"/>
    <col min="5" max="5" width="16.28515625" customWidth="1"/>
    <col min="6" max="6" width="13.42578125" customWidth="1"/>
    <col min="7" max="7" width="22.85546875" customWidth="1"/>
    <col min="8" max="8" width="31.42578125" customWidth="1"/>
    <col min="12" max="12" width="15.140625" customWidth="1"/>
    <col min="13" max="13" width="16.28515625" customWidth="1"/>
    <col min="14" max="14" width="13.42578125" customWidth="1"/>
    <col min="15" max="15" width="22.85546875" customWidth="1"/>
    <col min="16" max="16" width="31.42578125" customWidth="1"/>
  </cols>
  <sheetData>
    <row r="1" spans="1:16" x14ac:dyDescent="0.25">
      <c r="A1" t="s">
        <v>199</v>
      </c>
      <c r="B1"/>
    </row>
    <row r="2" spans="1:16" x14ac:dyDescent="0.25">
      <c r="A2" t="s">
        <v>97</v>
      </c>
      <c r="B2"/>
    </row>
    <row r="3" spans="1:16" ht="65.25" customHeight="1" x14ac:dyDescent="0.25">
      <c r="B3"/>
    </row>
    <row r="4" spans="1:16" x14ac:dyDescent="0.25">
      <c r="A4" t="s">
        <v>200</v>
      </c>
      <c r="B4"/>
    </row>
    <row r="5" spans="1:16" x14ac:dyDescent="0.25">
      <c r="A5" t="s">
        <v>201</v>
      </c>
      <c r="B5"/>
    </row>
    <row r="6" spans="1:16" x14ac:dyDescent="0.25">
      <c r="A6" t="s">
        <v>14</v>
      </c>
      <c r="B6"/>
    </row>
    <row r="7" spans="1:16" x14ac:dyDescent="0.25">
      <c r="B7"/>
    </row>
    <row r="8" spans="1:16" x14ac:dyDescent="0.25">
      <c r="B8" t="s">
        <v>13</v>
      </c>
    </row>
    <row r="9" spans="1:16" x14ac:dyDescent="0.25">
      <c r="B9" t="s">
        <v>203</v>
      </c>
    </row>
    <row r="10" spans="1:16" x14ac:dyDescent="0.25">
      <c r="B10" t="s">
        <v>204</v>
      </c>
    </row>
    <row r="11" spans="1:16" x14ac:dyDescent="0.25">
      <c r="B11" t="s">
        <v>206</v>
      </c>
    </row>
    <row r="12" spans="1:16" x14ac:dyDescent="0.25">
      <c r="B12" t="s">
        <v>205</v>
      </c>
    </row>
    <row r="13" spans="1:16" x14ac:dyDescent="0.25">
      <c r="B13" t="s">
        <v>207</v>
      </c>
    </row>
    <row r="14" spans="1:16" x14ac:dyDescent="0.25">
      <c r="B14" s="31" t="s">
        <v>208</v>
      </c>
    </row>
    <row r="15" spans="1:16" ht="57.75" customHeight="1" x14ac:dyDescent="0.25">
      <c r="B15"/>
      <c r="J15" s="33" t="s">
        <v>210</v>
      </c>
    </row>
    <row r="16" spans="1:16" x14ac:dyDescent="0.25">
      <c r="B16"/>
      <c r="D16" s="39" t="s">
        <v>314</v>
      </c>
      <c r="E16" s="39"/>
      <c r="G16" s="7" t="s">
        <v>202</v>
      </c>
      <c r="H16" s="20"/>
      <c r="L16" s="39" t="s">
        <v>314</v>
      </c>
      <c r="M16" s="39"/>
      <c r="O16" s="7" t="s">
        <v>202</v>
      </c>
      <c r="P16" s="20">
        <v>298.10435390229969</v>
      </c>
    </row>
    <row r="17" spans="2:16" x14ac:dyDescent="0.25">
      <c r="B17" s="21"/>
      <c r="C17" s="21"/>
      <c r="D17" s="7" t="s">
        <v>9</v>
      </c>
      <c r="E17" s="7"/>
      <c r="F17" s="21"/>
      <c r="G17" s="21"/>
      <c r="H17" s="21"/>
      <c r="J17" s="21"/>
      <c r="K17" s="21"/>
      <c r="L17" s="7" t="s">
        <v>9</v>
      </c>
      <c r="M17" s="7">
        <v>1</v>
      </c>
      <c r="N17" s="21"/>
      <c r="O17" s="21"/>
      <c r="P17" s="21"/>
    </row>
    <row r="18" spans="2:16" x14ac:dyDescent="0.25">
      <c r="B18" s="21"/>
      <c r="C18" s="21"/>
      <c r="D18" s="7" t="s">
        <v>10</v>
      </c>
      <c r="E18" s="7"/>
      <c r="F18" s="21"/>
      <c r="G18" s="21"/>
      <c r="H18" s="21"/>
      <c r="J18" s="21"/>
      <c r="K18" s="21"/>
      <c r="L18" s="7" t="s">
        <v>10</v>
      </c>
      <c r="M18" s="7">
        <v>8</v>
      </c>
      <c r="N18" s="21"/>
      <c r="O18" s="21"/>
      <c r="P18" s="21"/>
    </row>
    <row r="19" spans="2:16" x14ac:dyDescent="0.25">
      <c r="B19" s="21"/>
      <c r="C19" s="21"/>
      <c r="D19" s="7" t="s">
        <v>105</v>
      </c>
      <c r="E19" s="7"/>
      <c r="F19" s="21"/>
      <c r="G19" s="21"/>
      <c r="H19" s="21"/>
      <c r="J19" s="21"/>
      <c r="K19" s="21"/>
      <c r="L19" s="7" t="s">
        <v>105</v>
      </c>
      <c r="M19" s="7">
        <v>7</v>
      </c>
      <c r="N19" s="21"/>
      <c r="O19" s="21"/>
      <c r="P19" s="21"/>
    </row>
    <row r="20" spans="2:16" ht="23.25" customHeight="1" x14ac:dyDescent="0.25">
      <c r="B20" s="21"/>
      <c r="C20" s="21"/>
      <c r="D20" s="7"/>
      <c r="E20" s="7"/>
      <c r="F20" s="21"/>
      <c r="G20" s="21"/>
      <c r="H20" s="21"/>
      <c r="J20" s="21"/>
      <c r="K20" s="21"/>
      <c r="L20" s="7"/>
      <c r="M20" s="7">
        <v>1</v>
      </c>
      <c r="N20" s="21"/>
      <c r="O20" s="21"/>
      <c r="P20" s="21"/>
    </row>
    <row r="21" spans="2:16" ht="69.75" customHeight="1" x14ac:dyDescent="0.25">
      <c r="B21" s="32" t="s">
        <v>107</v>
      </c>
      <c r="C21" s="7"/>
      <c r="D21" s="7"/>
      <c r="E21" s="7"/>
      <c r="F21" s="16" t="s">
        <v>104</v>
      </c>
      <c r="G21" s="7"/>
      <c r="H21" s="7"/>
      <c r="J21" s="32" t="s">
        <v>107</v>
      </c>
      <c r="K21" s="7"/>
      <c r="L21" s="7"/>
      <c r="M21" s="7"/>
      <c r="N21" s="16" t="s">
        <v>104</v>
      </c>
      <c r="O21" s="7"/>
      <c r="P21" s="7"/>
    </row>
    <row r="22" spans="2:16" x14ac:dyDescent="0.25">
      <c r="B22" s="23"/>
      <c r="C22" s="7"/>
      <c r="D22" s="7"/>
      <c r="E22" s="24"/>
      <c r="F22" s="7"/>
      <c r="G22" s="24"/>
      <c r="H22" s="28"/>
      <c r="J22" s="23" t="s">
        <v>109</v>
      </c>
      <c r="K22" s="7">
        <v>0</v>
      </c>
      <c r="L22" s="7">
        <v>1</v>
      </c>
      <c r="M22" s="24">
        <v>0</v>
      </c>
      <c r="N22" s="7">
        <v>1</v>
      </c>
      <c r="O22" s="24">
        <v>0</v>
      </c>
      <c r="P22" s="28">
        <v>53.274721002503533</v>
      </c>
    </row>
    <row r="23" spans="2:16" x14ac:dyDescent="0.25">
      <c r="B23" s="23"/>
      <c r="C23" s="7"/>
      <c r="D23" s="7"/>
      <c r="E23" s="24"/>
      <c r="F23" s="7"/>
      <c r="G23" s="24"/>
      <c r="H23" s="27"/>
      <c r="J23" s="23" t="s">
        <v>109</v>
      </c>
      <c r="K23" s="7">
        <v>1</v>
      </c>
      <c r="L23" s="7">
        <v>2</v>
      </c>
      <c r="M23" s="24">
        <v>2.7725887222397811</v>
      </c>
      <c r="N23" s="7">
        <v>4</v>
      </c>
      <c r="O23" s="24">
        <v>11.090354888959125</v>
      </c>
      <c r="P23" s="27">
        <v>244.82963289979614</v>
      </c>
    </row>
    <row r="24" spans="2:16" x14ac:dyDescent="0.25">
      <c r="B24" s="23"/>
      <c r="C24" s="7"/>
      <c r="D24" s="7"/>
      <c r="E24" s="24"/>
      <c r="F24" s="7"/>
      <c r="G24" s="24"/>
      <c r="H24" s="7"/>
      <c r="J24" s="23" t="s">
        <v>109</v>
      </c>
      <c r="K24" s="7">
        <v>2</v>
      </c>
      <c r="L24" s="7">
        <v>3</v>
      </c>
      <c r="M24" s="24">
        <v>9.8875105980129874</v>
      </c>
      <c r="N24" s="7">
        <v>2</v>
      </c>
      <c r="O24" s="24">
        <v>19.775021196025975</v>
      </c>
      <c r="P24" s="7"/>
    </row>
    <row r="25" spans="2:16" x14ac:dyDescent="0.25">
      <c r="B25" s="23"/>
      <c r="C25" s="7"/>
      <c r="D25" s="7"/>
      <c r="E25" s="24"/>
      <c r="F25" s="7"/>
      <c r="G25" s="24"/>
      <c r="H25" s="7"/>
      <c r="J25" s="23" t="s">
        <v>109</v>
      </c>
      <c r="K25" s="7">
        <v>3</v>
      </c>
      <c r="L25" s="7">
        <v>4</v>
      </c>
      <c r="M25" s="24">
        <v>22.180709777918249</v>
      </c>
      <c r="N25" s="7">
        <v>4</v>
      </c>
      <c r="O25" s="24">
        <v>88.722839111672997</v>
      </c>
      <c r="P25" s="7"/>
    </row>
    <row r="26" spans="2:16" x14ac:dyDescent="0.25">
      <c r="B26" s="23"/>
      <c r="C26" s="7"/>
      <c r="D26" s="7"/>
      <c r="E26" s="24"/>
      <c r="F26" s="7"/>
      <c r="G26" s="24"/>
      <c r="H26" s="7"/>
      <c r="J26" s="23" t="s">
        <v>109</v>
      </c>
      <c r="K26" s="7">
        <v>4</v>
      </c>
      <c r="L26" s="7">
        <v>5</v>
      </c>
      <c r="M26" s="24">
        <v>40.235947810852508</v>
      </c>
      <c r="N26" s="7">
        <v>1</v>
      </c>
      <c r="O26" s="24">
        <v>40.235947810852508</v>
      </c>
      <c r="P26" s="7"/>
    </row>
    <row r="27" spans="2:16" x14ac:dyDescent="0.25">
      <c r="B27" s="23"/>
      <c r="C27" s="7"/>
      <c r="D27" s="7"/>
      <c r="E27" s="24"/>
      <c r="F27" s="7"/>
      <c r="G27" s="24"/>
      <c r="H27" s="27"/>
      <c r="J27" s="23" t="s">
        <v>108</v>
      </c>
      <c r="K27" s="7">
        <v>4</v>
      </c>
      <c r="L27" s="7">
        <v>5</v>
      </c>
      <c r="M27" s="24">
        <v>40.235947810852508</v>
      </c>
      <c r="N27" s="7">
        <v>1</v>
      </c>
      <c r="O27" s="24">
        <v>40.235947810852508</v>
      </c>
      <c r="P27" s="27"/>
    </row>
    <row r="28" spans="2:16" x14ac:dyDescent="0.25">
      <c r="B28" s="23"/>
      <c r="C28" s="7"/>
      <c r="D28" s="7"/>
      <c r="E28" s="24"/>
      <c r="F28" s="7"/>
      <c r="G28" s="24"/>
      <c r="H28" s="7"/>
      <c r="J28" s="23" t="s">
        <v>108</v>
      </c>
      <c r="K28" s="7">
        <v>5</v>
      </c>
      <c r="L28" s="7">
        <v>6</v>
      </c>
      <c r="M28" s="24">
        <v>64.503340892209977</v>
      </c>
      <c r="N28" s="7">
        <v>3</v>
      </c>
      <c r="O28" s="24">
        <v>193.51002267662994</v>
      </c>
      <c r="P28" s="7"/>
    </row>
    <row r="29" spans="2:16" x14ac:dyDescent="0.25">
      <c r="B29" s="23"/>
      <c r="C29" s="7"/>
      <c r="D29" s="7"/>
      <c r="E29" s="24"/>
      <c r="F29" s="7"/>
      <c r="G29" s="24"/>
      <c r="H29" s="7"/>
      <c r="J29" s="23" t="s">
        <v>108</v>
      </c>
      <c r="K29" s="7">
        <v>6</v>
      </c>
      <c r="L29" s="7">
        <v>7</v>
      </c>
      <c r="M29" s="24">
        <v>95.349597303710354</v>
      </c>
      <c r="N29" s="7">
        <v>3</v>
      </c>
      <c r="O29" s="24">
        <v>286.04879191113105</v>
      </c>
      <c r="P29" s="7"/>
    </row>
    <row r="30" spans="2:16" x14ac:dyDescent="0.25">
      <c r="B30" s="23"/>
      <c r="C30" s="7"/>
      <c r="D30" s="7"/>
      <c r="E30" s="24"/>
      <c r="F30" s="7"/>
      <c r="G30" s="24"/>
      <c r="H30" s="7"/>
      <c r="J30" s="23" t="s">
        <v>108</v>
      </c>
      <c r="K30" s="7">
        <v>7</v>
      </c>
      <c r="L30" s="7">
        <v>8</v>
      </c>
      <c r="M30" s="24">
        <v>133.08425866750949</v>
      </c>
      <c r="N30" s="7">
        <v>1</v>
      </c>
      <c r="O30" s="24">
        <v>133.08425866750949</v>
      </c>
      <c r="P30" s="7"/>
    </row>
    <row r="31" spans="2:16" x14ac:dyDescent="0.25">
      <c r="B31" s="23"/>
      <c r="C31" s="7"/>
      <c r="D31" s="7"/>
      <c r="E31" s="7"/>
      <c r="F31" s="7"/>
      <c r="G31" s="7"/>
      <c r="H31" s="17"/>
    </row>
    <row r="32" spans="2:16" x14ac:dyDescent="0.25">
      <c r="B32" s="23"/>
      <c r="C32" s="7"/>
      <c r="D32" s="7"/>
      <c r="E32" s="7"/>
      <c r="F32" s="7"/>
      <c r="G32" s="7"/>
      <c r="H32" s="29"/>
    </row>
    <row r="33" spans="2:8" x14ac:dyDescent="0.25">
      <c r="B33" s="23"/>
      <c r="C33" s="7"/>
      <c r="D33" s="7"/>
      <c r="E33" s="7"/>
      <c r="F33" s="7"/>
      <c r="G33" s="7"/>
      <c r="H33" s="7"/>
    </row>
    <row r="34" spans="2:8" x14ac:dyDescent="0.25">
      <c r="B34" s="23"/>
      <c r="C34" s="7"/>
      <c r="D34" s="7"/>
      <c r="E34" s="7"/>
      <c r="F34" s="7"/>
      <c r="G34" s="7"/>
      <c r="H34" s="7"/>
    </row>
    <row r="35" spans="2:8" x14ac:dyDescent="0.25">
      <c r="B35" s="23"/>
      <c r="C35" s="7"/>
      <c r="D35" s="7"/>
      <c r="E35" s="7"/>
      <c r="F35" s="7"/>
      <c r="G35" s="7"/>
      <c r="H35" s="7"/>
    </row>
    <row r="36" spans="2:8" x14ac:dyDescent="0.25">
      <c r="B36" s="23"/>
      <c r="C36" s="7"/>
      <c r="D36" s="7"/>
      <c r="E36" s="7"/>
      <c r="F36" s="7"/>
      <c r="G36" s="7"/>
      <c r="H36" s="7"/>
    </row>
    <row r="37" spans="2:8" x14ac:dyDescent="0.25">
      <c r="B37" s="23"/>
      <c r="C37" s="7"/>
      <c r="D37" s="7"/>
      <c r="E37" s="7"/>
      <c r="F37" s="7"/>
      <c r="G37" s="7"/>
      <c r="H37" s="7"/>
    </row>
    <row r="38" spans="2:8" x14ac:dyDescent="0.25">
      <c r="B38" s="23"/>
      <c r="C38" s="7"/>
      <c r="D38" s="7"/>
      <c r="E38" s="7"/>
      <c r="F38" s="7"/>
      <c r="G38" s="7"/>
      <c r="H38" s="7"/>
    </row>
    <row r="39" spans="2:8" x14ac:dyDescent="0.25">
      <c r="B39" s="23"/>
      <c r="C39" s="7"/>
      <c r="D39" s="7"/>
      <c r="E39" s="7"/>
      <c r="F39" s="7"/>
      <c r="G39" s="7"/>
      <c r="H39" s="7"/>
    </row>
    <row r="40" spans="2:8" x14ac:dyDescent="0.25">
      <c r="B40" s="23"/>
      <c r="C40" s="7"/>
      <c r="D40" s="7"/>
      <c r="E40" s="7"/>
      <c r="F40" s="7"/>
      <c r="G40" s="7"/>
      <c r="H40" s="7"/>
    </row>
    <row r="41" spans="2:8" x14ac:dyDescent="0.25">
      <c r="B41" s="23"/>
      <c r="C41" s="7"/>
      <c r="D41" s="7"/>
      <c r="E41" s="7"/>
      <c r="F41" s="7"/>
      <c r="G41" s="7"/>
      <c r="H41" s="7"/>
    </row>
    <row r="42" spans="2:8" x14ac:dyDescent="0.25">
      <c r="B42" s="23"/>
      <c r="C42" s="7"/>
      <c r="D42" s="7"/>
      <c r="E42" s="7"/>
      <c r="F42" s="7"/>
      <c r="G42" s="7"/>
      <c r="H42" s="7"/>
    </row>
    <row r="43" spans="2:8" x14ac:dyDescent="0.25">
      <c r="B43" s="23"/>
      <c r="C43" s="7"/>
      <c r="D43" s="7"/>
      <c r="E43" s="7"/>
      <c r="F43" s="7"/>
      <c r="G43" s="7"/>
      <c r="H43" s="7"/>
    </row>
    <row r="44" spans="2:8" x14ac:dyDescent="0.25">
      <c r="B44" s="23"/>
      <c r="C44" s="7"/>
      <c r="D44" s="7"/>
      <c r="E44" s="7"/>
      <c r="F44" s="7"/>
      <c r="G44" s="7"/>
      <c r="H44" s="7"/>
    </row>
    <row r="45" spans="2:8" x14ac:dyDescent="0.25">
      <c r="B45" s="23"/>
      <c r="C45" s="7"/>
      <c r="D45" s="7"/>
      <c r="E45" s="7"/>
      <c r="F45" s="7"/>
      <c r="G45" s="7"/>
      <c r="H45" s="7"/>
    </row>
    <row r="46" spans="2:8" x14ac:dyDescent="0.25">
      <c r="B46" s="23"/>
      <c r="C46" s="7"/>
      <c r="D46" s="7"/>
      <c r="E46" s="7"/>
      <c r="F46" s="7"/>
      <c r="G46" s="7"/>
      <c r="H46" s="7"/>
    </row>
    <row r="47" spans="2:8" x14ac:dyDescent="0.25">
      <c r="B47" s="23"/>
      <c r="C47" s="7"/>
      <c r="D47" s="7"/>
      <c r="E47" s="7"/>
      <c r="F47" s="7"/>
      <c r="G47" s="7"/>
      <c r="H47" s="7"/>
    </row>
    <row r="48" spans="2:8" x14ac:dyDescent="0.25">
      <c r="B48" s="23"/>
      <c r="C48" s="7"/>
      <c r="D48" s="7"/>
      <c r="E48" s="7"/>
      <c r="F48" s="7"/>
      <c r="G48" s="7"/>
      <c r="H48" s="7"/>
    </row>
    <row r="49" spans="2:8" x14ac:dyDescent="0.25">
      <c r="B49" s="23"/>
      <c r="C49" s="7"/>
      <c r="D49" s="7"/>
      <c r="E49" s="7"/>
      <c r="F49" s="7"/>
      <c r="G49" s="7"/>
      <c r="H49" s="7"/>
    </row>
    <row r="50" spans="2:8" x14ac:dyDescent="0.25">
      <c r="B50" s="23"/>
      <c r="C50" s="7"/>
      <c r="D50" s="7"/>
      <c r="E50" s="7"/>
      <c r="F50" s="7"/>
      <c r="G50" s="7"/>
      <c r="H50" s="7"/>
    </row>
    <row r="51" spans="2:8" x14ac:dyDescent="0.25">
      <c r="B51" s="23"/>
      <c r="C51" s="7"/>
      <c r="D51" s="7"/>
      <c r="E51" s="7"/>
      <c r="F51" s="7"/>
      <c r="G51" s="7"/>
      <c r="H51" s="7"/>
    </row>
    <row r="52" spans="2:8" x14ac:dyDescent="0.25">
      <c r="B52" s="23"/>
      <c r="C52" s="7"/>
      <c r="D52" s="7"/>
      <c r="E52" s="7"/>
      <c r="F52" s="7"/>
      <c r="G52" s="7"/>
      <c r="H52" s="7"/>
    </row>
    <row r="53" spans="2:8" x14ac:dyDescent="0.25">
      <c r="B53" s="23"/>
      <c r="C53" s="7"/>
      <c r="D53" s="7"/>
      <c r="E53" s="7"/>
      <c r="F53" s="7"/>
      <c r="G53" s="7"/>
      <c r="H53" s="7"/>
    </row>
    <row r="54" spans="2:8" x14ac:dyDescent="0.25">
      <c r="B54" s="23"/>
      <c r="C54" s="7"/>
      <c r="D54" s="7"/>
      <c r="E54" s="7"/>
      <c r="F54" s="7"/>
      <c r="G54" s="7"/>
      <c r="H54" s="7"/>
    </row>
    <row r="55" spans="2:8" x14ac:dyDescent="0.25">
      <c r="B55" s="23"/>
      <c r="C55" s="7"/>
      <c r="D55" s="7"/>
      <c r="E55" s="7"/>
      <c r="F55" s="7"/>
      <c r="G55" s="7"/>
      <c r="H55" s="7"/>
    </row>
    <row r="56" spans="2:8" x14ac:dyDescent="0.25">
      <c r="B56" s="23"/>
      <c r="C56" s="7"/>
      <c r="D56" s="7"/>
      <c r="E56" s="7"/>
      <c r="F56" s="7"/>
      <c r="G56" s="7"/>
      <c r="H56" s="7"/>
    </row>
    <row r="57" spans="2:8" x14ac:dyDescent="0.25">
      <c r="B57" s="23"/>
      <c r="C57" s="7"/>
      <c r="D57" s="7"/>
      <c r="E57" s="7"/>
      <c r="F57" s="7"/>
      <c r="G57" s="7"/>
      <c r="H57" s="7"/>
    </row>
    <row r="58" spans="2:8" x14ac:dyDescent="0.25">
      <c r="B58" s="23"/>
      <c r="C58" s="7"/>
      <c r="D58" s="7"/>
      <c r="E58" s="7"/>
      <c r="F58" s="7"/>
      <c r="G58" s="7"/>
      <c r="H58" s="7"/>
    </row>
    <row r="59" spans="2:8" x14ac:dyDescent="0.25">
      <c r="B59" s="23"/>
      <c r="C59" s="7"/>
      <c r="D59" s="7"/>
      <c r="E59" s="7"/>
      <c r="F59" s="7"/>
      <c r="G59" s="7"/>
      <c r="H59" s="7"/>
    </row>
    <row r="60" spans="2:8" x14ac:dyDescent="0.25">
      <c r="B60" s="23"/>
      <c r="C60" s="7"/>
      <c r="D60" s="7"/>
      <c r="E60" s="7"/>
      <c r="F60" s="7"/>
      <c r="G60" s="7"/>
      <c r="H60" s="7"/>
    </row>
    <row r="61" spans="2:8" x14ac:dyDescent="0.25">
      <c r="B61" s="23"/>
      <c r="C61" s="7"/>
      <c r="D61" s="7"/>
      <c r="E61" s="7"/>
      <c r="F61" s="7"/>
      <c r="G61" s="7"/>
      <c r="H61" s="7"/>
    </row>
    <row r="62" spans="2:8" x14ac:dyDescent="0.25">
      <c r="B62" s="23"/>
      <c r="C62" s="7"/>
      <c r="D62" s="7"/>
      <c r="E62" s="7"/>
      <c r="F62" s="7"/>
      <c r="G62" s="7"/>
      <c r="H62" s="7"/>
    </row>
    <row r="63" spans="2:8" x14ac:dyDescent="0.25">
      <c r="B63" s="23"/>
      <c r="C63" s="7"/>
      <c r="D63" s="7"/>
      <c r="E63" s="7"/>
      <c r="F63" s="7"/>
      <c r="G63" s="7"/>
      <c r="H63" s="7"/>
    </row>
    <row r="64" spans="2:8" x14ac:dyDescent="0.25">
      <c r="B64" s="23"/>
      <c r="C64" s="7"/>
      <c r="D64" s="7"/>
      <c r="E64" s="7"/>
      <c r="F64" s="7"/>
      <c r="G64" s="7"/>
      <c r="H64" s="7"/>
    </row>
    <row r="65" spans="2:8" x14ac:dyDescent="0.25">
      <c r="B65" s="23"/>
      <c r="C65" s="7"/>
      <c r="D65" s="7"/>
      <c r="E65" s="7"/>
      <c r="F65" s="7"/>
      <c r="G65" s="7"/>
      <c r="H65" s="7"/>
    </row>
    <row r="66" spans="2:8" x14ac:dyDescent="0.25">
      <c r="B66" s="23"/>
      <c r="C66" s="7"/>
      <c r="D66" s="7"/>
      <c r="E66" s="7"/>
      <c r="F66" s="7"/>
      <c r="G66" s="7"/>
      <c r="H66" s="7"/>
    </row>
    <row r="67" spans="2:8" x14ac:dyDescent="0.25">
      <c r="B67" s="23"/>
      <c r="C67" s="7"/>
      <c r="D67" s="7"/>
      <c r="E67" s="7"/>
      <c r="F67" s="7"/>
      <c r="G67" s="7"/>
      <c r="H67" s="7"/>
    </row>
    <row r="68" spans="2:8" x14ac:dyDescent="0.25">
      <c r="B68" s="23"/>
      <c r="C68" s="7"/>
      <c r="D68" s="7"/>
      <c r="E68" s="7"/>
      <c r="F68" s="7"/>
      <c r="G68" s="7"/>
      <c r="H68" s="7"/>
    </row>
    <row r="69" spans="2:8" x14ac:dyDescent="0.25">
      <c r="B69" s="23"/>
      <c r="C69" s="7"/>
      <c r="D69" s="7"/>
      <c r="E69" s="7"/>
      <c r="F69" s="7"/>
      <c r="G69" s="7"/>
      <c r="H69" s="7"/>
    </row>
    <row r="70" spans="2:8" x14ac:dyDescent="0.25">
      <c r="B70" s="23"/>
      <c r="C70" s="7"/>
      <c r="D70" s="7"/>
      <c r="E70" s="7"/>
      <c r="F70" s="7"/>
      <c r="G70" s="7"/>
      <c r="H70" s="7"/>
    </row>
    <row r="71" spans="2:8" x14ac:dyDescent="0.25">
      <c r="B71" s="23"/>
      <c r="C71" s="7"/>
      <c r="D71" s="7"/>
      <c r="E71" s="7"/>
      <c r="F71" s="7"/>
      <c r="G71" s="7"/>
      <c r="H71" s="7"/>
    </row>
    <row r="72" spans="2:8" x14ac:dyDescent="0.25">
      <c r="B72" s="23"/>
      <c r="C72" s="7"/>
      <c r="D72" s="7"/>
      <c r="E72" s="7"/>
      <c r="F72" s="7"/>
      <c r="G72" s="7"/>
      <c r="H72" s="7"/>
    </row>
    <row r="73" spans="2:8" x14ac:dyDescent="0.25">
      <c r="B73" s="23"/>
      <c r="C73" s="7"/>
      <c r="D73" s="7"/>
      <c r="E73" s="7"/>
      <c r="F73" s="7"/>
      <c r="G73" s="7"/>
      <c r="H73" s="7"/>
    </row>
    <row r="74" spans="2:8" x14ac:dyDescent="0.25">
      <c r="B74" s="23"/>
      <c r="C74" s="7"/>
      <c r="D74" s="7"/>
      <c r="E74" s="7"/>
      <c r="F74" s="7"/>
      <c r="G74" s="7"/>
      <c r="H74" s="7"/>
    </row>
    <row r="75" spans="2:8" x14ac:dyDescent="0.25">
      <c r="B75" s="23"/>
      <c r="C75" s="7"/>
      <c r="D75" s="7"/>
      <c r="E75" s="7"/>
      <c r="F75" s="7"/>
      <c r="G75" s="7"/>
      <c r="H75" s="7"/>
    </row>
    <row r="76" spans="2:8" x14ac:dyDescent="0.25">
      <c r="B76" s="23"/>
      <c r="C76" s="7"/>
      <c r="D76" s="7"/>
      <c r="E76" s="7"/>
      <c r="F76" s="7"/>
      <c r="G76" s="7"/>
      <c r="H76" s="7"/>
    </row>
    <row r="77" spans="2:8" x14ac:dyDescent="0.25">
      <c r="B77" s="23"/>
      <c r="C77" s="7"/>
      <c r="D77" s="7"/>
      <c r="E77" s="7"/>
      <c r="F77" s="7"/>
      <c r="G77" s="7"/>
      <c r="H77" s="7"/>
    </row>
    <row r="78" spans="2:8" x14ac:dyDescent="0.25">
      <c r="B78" s="23"/>
      <c r="C78" s="7"/>
      <c r="D78" s="7"/>
      <c r="E78" s="7"/>
      <c r="F78" s="7"/>
      <c r="G78" s="7"/>
      <c r="H78" s="7"/>
    </row>
    <row r="79" spans="2:8" x14ac:dyDescent="0.25">
      <c r="B79" s="23"/>
      <c r="C79" s="7"/>
      <c r="D79" s="7"/>
      <c r="E79" s="7"/>
      <c r="F79" s="7"/>
      <c r="G79" s="7"/>
      <c r="H79" s="7"/>
    </row>
    <row r="80" spans="2:8" x14ac:dyDescent="0.25">
      <c r="B80" s="23"/>
      <c r="C80" s="7"/>
      <c r="D80" s="7"/>
      <c r="E80" s="7"/>
      <c r="F80" s="7"/>
      <c r="G80" s="7"/>
      <c r="H80" s="7"/>
    </row>
    <row r="81" spans="2:8" x14ac:dyDescent="0.25">
      <c r="B81" s="23"/>
      <c r="C81" s="7"/>
      <c r="D81" s="7"/>
      <c r="E81" s="7"/>
      <c r="F81" s="7"/>
      <c r="G81" s="7"/>
      <c r="H81" s="7"/>
    </row>
    <row r="82" spans="2:8" x14ac:dyDescent="0.25">
      <c r="B82" s="23"/>
      <c r="C82" s="7"/>
      <c r="D82" s="7"/>
      <c r="E82" s="7"/>
      <c r="F82" s="7"/>
      <c r="G82" s="7"/>
      <c r="H82" s="7"/>
    </row>
    <row r="83" spans="2:8" x14ac:dyDescent="0.25">
      <c r="B83" s="23"/>
      <c r="C83" s="7"/>
      <c r="D83" s="7"/>
      <c r="E83" s="7"/>
      <c r="F83" s="7"/>
      <c r="G83" s="7"/>
      <c r="H83" s="7"/>
    </row>
    <row r="84" spans="2:8" x14ac:dyDescent="0.25">
      <c r="B84" s="23"/>
      <c r="C84" s="7"/>
      <c r="D84" s="7"/>
      <c r="E84" s="7"/>
      <c r="F84" s="7"/>
      <c r="G84" s="7"/>
      <c r="H84" s="7"/>
    </row>
    <row r="85" spans="2:8" x14ac:dyDescent="0.25">
      <c r="B85" s="23"/>
      <c r="C85" s="7"/>
      <c r="D85" s="7"/>
      <c r="E85" s="7"/>
      <c r="F85" s="7"/>
      <c r="G85" s="7"/>
      <c r="H85" s="7"/>
    </row>
    <row r="86" spans="2:8" x14ac:dyDescent="0.25">
      <c r="B86" s="23"/>
      <c r="C86" s="7"/>
      <c r="D86" s="7"/>
      <c r="E86" s="7"/>
      <c r="F86" s="7"/>
      <c r="G86" s="7"/>
      <c r="H86" s="7"/>
    </row>
    <row r="87" spans="2:8" x14ac:dyDescent="0.25">
      <c r="B87" s="23"/>
      <c r="C87" s="7"/>
      <c r="D87" s="7"/>
      <c r="E87" s="7"/>
      <c r="F87" s="7"/>
      <c r="G87" s="7"/>
      <c r="H87" s="7"/>
    </row>
    <row r="88" spans="2:8" x14ac:dyDescent="0.25">
      <c r="B88" s="23"/>
      <c r="C88" s="7"/>
      <c r="D88" s="7"/>
      <c r="E88" s="7"/>
      <c r="F88" s="7"/>
      <c r="G88" s="7"/>
      <c r="H88" s="7"/>
    </row>
    <row r="89" spans="2:8" x14ac:dyDescent="0.25">
      <c r="B89" s="23"/>
      <c r="C89" s="7"/>
      <c r="D89" s="7"/>
      <c r="E89" s="7"/>
      <c r="F89" s="7"/>
      <c r="G89" s="7"/>
      <c r="H89" s="7"/>
    </row>
    <row r="90" spans="2:8" x14ac:dyDescent="0.25">
      <c r="B90" s="23"/>
      <c r="C90" s="7"/>
      <c r="D90" s="7"/>
      <c r="E90" s="7"/>
      <c r="F90" s="7"/>
      <c r="G90" s="7"/>
      <c r="H90" s="7"/>
    </row>
    <row r="91" spans="2:8" x14ac:dyDescent="0.25">
      <c r="B91" s="23"/>
      <c r="C91" s="7"/>
      <c r="D91" s="7"/>
      <c r="E91" s="7"/>
      <c r="F91" s="7"/>
      <c r="G91" s="7"/>
      <c r="H91" s="7"/>
    </row>
    <row r="92" spans="2:8" x14ac:dyDescent="0.25">
      <c r="B92" s="23"/>
      <c r="C92" s="7"/>
      <c r="D92" s="7"/>
      <c r="E92" s="7"/>
      <c r="F92" s="7"/>
      <c r="G92" s="7"/>
      <c r="H92" s="7"/>
    </row>
    <row r="93" spans="2:8" x14ac:dyDescent="0.25">
      <c r="B93" s="23"/>
      <c r="C93" s="7"/>
      <c r="D93" s="7"/>
      <c r="E93" s="7"/>
      <c r="F93" s="7"/>
      <c r="G93" s="7"/>
      <c r="H93" s="7"/>
    </row>
    <row r="94" spans="2:8" x14ac:dyDescent="0.25">
      <c r="B94" s="23"/>
      <c r="C94" s="7"/>
      <c r="D94" s="7"/>
      <c r="E94" s="7"/>
      <c r="F94" s="7"/>
      <c r="G94" s="7"/>
      <c r="H94" s="7"/>
    </row>
    <row r="95" spans="2:8" x14ac:dyDescent="0.25">
      <c r="B95" s="23"/>
      <c r="C95" s="7"/>
      <c r="D95" s="7"/>
      <c r="E95" s="7"/>
      <c r="F95" s="7"/>
      <c r="G95" s="7"/>
      <c r="H95" s="7"/>
    </row>
    <row r="96" spans="2:8" x14ac:dyDescent="0.25">
      <c r="B96" s="23"/>
      <c r="C96" s="7"/>
      <c r="D96" s="7"/>
      <c r="E96" s="7"/>
      <c r="F96" s="7"/>
      <c r="G96" s="7"/>
      <c r="H96" s="7"/>
    </row>
    <row r="97" spans="2:8" x14ac:dyDescent="0.25">
      <c r="B97" s="23"/>
      <c r="C97" s="7"/>
      <c r="D97" s="7"/>
      <c r="E97" s="7"/>
      <c r="F97" s="7"/>
      <c r="G97" s="7"/>
      <c r="H97" s="7"/>
    </row>
    <row r="98" spans="2:8" x14ac:dyDescent="0.25">
      <c r="B98" s="23"/>
      <c r="C98" s="7"/>
      <c r="D98" s="7"/>
      <c r="E98" s="7"/>
      <c r="F98" s="7"/>
      <c r="G98" s="7"/>
      <c r="H98" s="7"/>
    </row>
    <row r="99" spans="2:8" x14ac:dyDescent="0.25">
      <c r="B99" s="23"/>
      <c r="C99" s="7"/>
      <c r="D99" s="7"/>
      <c r="E99" s="7"/>
      <c r="F99" s="7"/>
      <c r="G99" s="7"/>
      <c r="H99" s="7"/>
    </row>
    <row r="100" spans="2:8" x14ac:dyDescent="0.25">
      <c r="B100" s="23"/>
      <c r="C100" s="7"/>
      <c r="D100" s="7"/>
      <c r="E100" s="7"/>
      <c r="F100" s="7"/>
      <c r="G100" s="7"/>
      <c r="H100" s="7"/>
    </row>
    <row r="101" spans="2:8" x14ac:dyDescent="0.25">
      <c r="B101" s="23"/>
      <c r="C101" s="7"/>
      <c r="D101" s="7"/>
      <c r="E101" s="7"/>
      <c r="F101" s="7"/>
      <c r="G101" s="7"/>
      <c r="H101" s="7"/>
    </row>
    <row r="102" spans="2:8" x14ac:dyDescent="0.25">
      <c r="B102" s="23"/>
      <c r="C102" s="7"/>
      <c r="D102" s="7"/>
      <c r="E102" s="7"/>
      <c r="F102" s="7"/>
      <c r="G102" s="7"/>
      <c r="H102" s="7"/>
    </row>
    <row r="103" spans="2:8" x14ac:dyDescent="0.25">
      <c r="B103" s="23"/>
      <c r="C103" s="7"/>
      <c r="D103" s="7"/>
      <c r="E103" s="7"/>
      <c r="F103" s="7"/>
      <c r="G103" s="7"/>
      <c r="H103" s="7"/>
    </row>
    <row r="104" spans="2:8" x14ac:dyDescent="0.25">
      <c r="B104" s="23"/>
      <c r="C104" s="7"/>
      <c r="D104" s="7"/>
      <c r="E104" s="7"/>
      <c r="F104" s="7"/>
      <c r="G104" s="7"/>
      <c r="H104" s="7"/>
    </row>
    <row r="105" spans="2:8" x14ac:dyDescent="0.25">
      <c r="B105" s="23"/>
      <c r="C105" s="7"/>
      <c r="D105" s="7"/>
      <c r="E105" s="7"/>
      <c r="F105" s="7"/>
      <c r="G105" s="7"/>
      <c r="H105" s="7"/>
    </row>
    <row r="106" spans="2:8" x14ac:dyDescent="0.25">
      <c r="B106" s="23"/>
      <c r="C106" s="7"/>
      <c r="D106" s="7"/>
      <c r="E106" s="7"/>
      <c r="F106" s="7"/>
      <c r="G106" s="7"/>
      <c r="H106" s="7"/>
    </row>
    <row r="107" spans="2:8" x14ac:dyDescent="0.25">
      <c r="B107" s="23"/>
      <c r="C107" s="7"/>
      <c r="D107" s="7"/>
      <c r="E107" s="7"/>
      <c r="F107" s="7"/>
      <c r="G107" s="7"/>
      <c r="H107" s="7"/>
    </row>
    <row r="108" spans="2:8" x14ac:dyDescent="0.25">
      <c r="B108" s="23"/>
      <c r="C108" s="7"/>
      <c r="D108" s="7"/>
      <c r="E108" s="7"/>
      <c r="F108" s="7"/>
      <c r="G108" s="7"/>
      <c r="H108" s="7"/>
    </row>
    <row r="109" spans="2:8" x14ac:dyDescent="0.25">
      <c r="B109" s="23"/>
      <c r="C109" s="7"/>
      <c r="D109" s="7"/>
      <c r="E109" s="7"/>
      <c r="F109" s="7"/>
      <c r="G109" s="7"/>
      <c r="H109" s="7"/>
    </row>
    <row r="110" spans="2:8" x14ac:dyDescent="0.25">
      <c r="B110" s="23"/>
      <c r="C110" s="7"/>
      <c r="D110" s="7"/>
      <c r="E110" s="7"/>
      <c r="F110" s="7"/>
      <c r="G110" s="7"/>
      <c r="H110" s="7"/>
    </row>
    <row r="111" spans="2:8" x14ac:dyDescent="0.25">
      <c r="B111" s="23"/>
      <c r="C111" s="7"/>
      <c r="D111" s="7"/>
      <c r="E111" s="7"/>
      <c r="F111" s="7"/>
      <c r="G111" s="7"/>
      <c r="H111" s="7"/>
    </row>
    <row r="112" spans="2:8" x14ac:dyDescent="0.25">
      <c r="B112" s="23"/>
      <c r="C112" s="7"/>
      <c r="D112" s="7"/>
      <c r="E112" s="7"/>
      <c r="F112" s="7"/>
      <c r="G112" s="7"/>
      <c r="H112" s="7"/>
    </row>
    <row r="113" spans="2:8" x14ac:dyDescent="0.25">
      <c r="B113" s="23"/>
      <c r="C113" s="7"/>
      <c r="D113" s="7"/>
      <c r="E113" s="7"/>
      <c r="F113" s="7"/>
      <c r="G113" s="7"/>
      <c r="H113" s="7"/>
    </row>
    <row r="114" spans="2:8" x14ac:dyDescent="0.25">
      <c r="B114" s="23"/>
      <c r="C114" s="7"/>
      <c r="D114" s="7"/>
      <c r="E114" s="7"/>
      <c r="F114" s="7"/>
      <c r="G114" s="7"/>
      <c r="H114" s="7"/>
    </row>
    <row r="115" spans="2:8" x14ac:dyDescent="0.25">
      <c r="B115" s="23"/>
      <c r="C115" s="7"/>
      <c r="D115" s="7"/>
      <c r="E115" s="7"/>
      <c r="F115" s="7"/>
      <c r="G115" s="7"/>
      <c r="H115" s="7"/>
    </row>
    <row r="116" spans="2:8" x14ac:dyDescent="0.25">
      <c r="B116" s="23"/>
      <c r="C116" s="7"/>
      <c r="D116" s="7"/>
      <c r="E116" s="7"/>
      <c r="F116" s="7"/>
      <c r="G116" s="7"/>
      <c r="H116" s="7"/>
    </row>
    <row r="117" spans="2:8" x14ac:dyDescent="0.25">
      <c r="B117" s="23"/>
      <c r="C117" s="7"/>
      <c r="D117" s="7"/>
      <c r="E117" s="7"/>
      <c r="F117" s="7"/>
      <c r="G117" s="7"/>
      <c r="H117" s="7"/>
    </row>
    <row r="118" spans="2:8" x14ac:dyDescent="0.25">
      <c r="B118" s="23"/>
      <c r="C118" s="7"/>
      <c r="D118" s="7"/>
      <c r="E118" s="7"/>
      <c r="F118" s="7"/>
      <c r="G118" s="7"/>
      <c r="H118" s="7"/>
    </row>
    <row r="119" spans="2:8" x14ac:dyDescent="0.25">
      <c r="B119" s="23"/>
      <c r="C119" s="7"/>
      <c r="D119" s="7"/>
      <c r="E119" s="7"/>
      <c r="F119" s="7"/>
      <c r="G119" s="7"/>
      <c r="H119" s="7"/>
    </row>
    <row r="120" spans="2:8" x14ac:dyDescent="0.25">
      <c r="B120" s="23"/>
      <c r="C120" s="7"/>
      <c r="D120" s="7"/>
      <c r="E120" s="7"/>
      <c r="F120" s="7"/>
      <c r="G120" s="7"/>
      <c r="H120" s="7"/>
    </row>
    <row r="121" spans="2:8" x14ac:dyDescent="0.25">
      <c r="B121" s="23"/>
      <c r="C121" s="7"/>
      <c r="D121" s="7"/>
      <c r="E121" s="7"/>
      <c r="F121" s="7"/>
      <c r="G121" s="7"/>
      <c r="H121" s="7"/>
    </row>
    <row r="122" spans="2:8" x14ac:dyDescent="0.25">
      <c r="B122" s="23"/>
      <c r="C122" s="7"/>
      <c r="D122" s="7"/>
      <c r="E122" s="7"/>
      <c r="F122" s="7"/>
      <c r="G122" s="7"/>
      <c r="H122" s="7"/>
    </row>
    <row r="123" spans="2:8" x14ac:dyDescent="0.25">
      <c r="B123" s="23"/>
      <c r="C123" s="7"/>
      <c r="D123" s="7"/>
      <c r="E123" s="7"/>
      <c r="F123" s="7"/>
      <c r="G123" s="7"/>
      <c r="H123" s="7"/>
    </row>
    <row r="124" spans="2:8" x14ac:dyDescent="0.25">
      <c r="B124" s="23"/>
      <c r="C124" s="7"/>
      <c r="D124" s="7"/>
      <c r="E124" s="7"/>
      <c r="F124" s="7"/>
      <c r="G124" s="7"/>
      <c r="H124" s="7"/>
    </row>
    <row r="125" spans="2:8" x14ac:dyDescent="0.25">
      <c r="B125" s="23"/>
      <c r="C125" s="7"/>
      <c r="D125" s="7"/>
      <c r="E125" s="7"/>
      <c r="F125" s="7"/>
      <c r="G125" s="7"/>
      <c r="H125" s="7"/>
    </row>
    <row r="126" spans="2:8" x14ac:dyDescent="0.25">
      <c r="B126" s="23"/>
      <c r="C126" s="7"/>
      <c r="D126" s="7"/>
      <c r="E126" s="7"/>
      <c r="F126" s="7"/>
      <c r="G126" s="7"/>
      <c r="H126" s="7"/>
    </row>
    <row r="127" spans="2:8" x14ac:dyDescent="0.25">
      <c r="B127" s="23"/>
      <c r="C127" s="7"/>
      <c r="D127" s="7"/>
      <c r="E127" s="7"/>
      <c r="F127" s="7"/>
      <c r="G127" s="7"/>
      <c r="H127" s="7"/>
    </row>
    <row r="128" spans="2:8" x14ac:dyDescent="0.25">
      <c r="B128" s="23"/>
      <c r="C128" s="7"/>
      <c r="D128" s="7"/>
      <c r="E128" s="7"/>
      <c r="F128" s="7"/>
      <c r="G128" s="7"/>
      <c r="H128" s="7"/>
    </row>
    <row r="129" spans="2:8" x14ac:dyDescent="0.25">
      <c r="B129" s="23"/>
      <c r="C129" s="7"/>
      <c r="D129" s="7"/>
      <c r="E129" s="7"/>
      <c r="F129" s="7"/>
      <c r="G129" s="7"/>
      <c r="H129" s="7"/>
    </row>
    <row r="130" spans="2:8" x14ac:dyDescent="0.25">
      <c r="B130" s="23"/>
      <c r="C130" s="7"/>
      <c r="D130" s="7"/>
      <c r="E130" s="7"/>
      <c r="F130" s="7"/>
      <c r="G130" s="7"/>
      <c r="H130" s="7"/>
    </row>
    <row r="131" spans="2:8" x14ac:dyDescent="0.25">
      <c r="B131" s="23"/>
      <c r="C131" s="7"/>
      <c r="D131" s="7"/>
      <c r="E131" s="7"/>
      <c r="F131" s="7"/>
      <c r="G131" s="7"/>
      <c r="H131" s="7"/>
    </row>
    <row r="132" spans="2:8" x14ac:dyDescent="0.25">
      <c r="B132" s="23"/>
      <c r="C132" s="7"/>
      <c r="D132" s="7"/>
      <c r="E132" s="7"/>
      <c r="F132" s="7"/>
      <c r="G132" s="7"/>
      <c r="H132" s="7"/>
    </row>
    <row r="133" spans="2:8" x14ac:dyDescent="0.25">
      <c r="B133" s="23"/>
      <c r="C133" s="7"/>
      <c r="D133" s="7"/>
      <c r="E133" s="7"/>
      <c r="F133" s="7"/>
      <c r="G133" s="7"/>
      <c r="H133" s="7"/>
    </row>
    <row r="134" spans="2:8" x14ac:dyDescent="0.25">
      <c r="B134" s="23"/>
      <c r="C134" s="7"/>
      <c r="D134" s="7"/>
      <c r="E134" s="7"/>
      <c r="F134" s="7"/>
      <c r="G134" s="7"/>
      <c r="H134" s="7"/>
    </row>
    <row r="135" spans="2:8" x14ac:dyDescent="0.25">
      <c r="B135" s="23"/>
      <c r="C135" s="7"/>
      <c r="D135" s="7"/>
      <c r="E135" s="7"/>
      <c r="F135" s="7"/>
      <c r="G135" s="7"/>
      <c r="H135" s="7"/>
    </row>
    <row r="136" spans="2:8" x14ac:dyDescent="0.25">
      <c r="B136" s="23"/>
      <c r="C136" s="7"/>
      <c r="D136" s="7"/>
      <c r="E136" s="7"/>
      <c r="F136" s="7"/>
      <c r="G136" s="7"/>
      <c r="H136" s="7"/>
    </row>
    <row r="137" spans="2:8" x14ac:dyDescent="0.25">
      <c r="B137" s="23"/>
      <c r="C137" s="7"/>
      <c r="D137" s="7"/>
      <c r="E137" s="7"/>
      <c r="F137" s="7"/>
      <c r="G137" s="7"/>
      <c r="H137" s="7"/>
    </row>
    <row r="138" spans="2:8" x14ac:dyDescent="0.25">
      <c r="B138" s="23"/>
      <c r="C138" s="7"/>
      <c r="D138" s="7"/>
      <c r="E138" s="7"/>
      <c r="F138" s="7"/>
      <c r="G138" s="7"/>
      <c r="H138" s="7"/>
    </row>
    <row r="139" spans="2:8" x14ac:dyDescent="0.25">
      <c r="B139" s="23"/>
      <c r="C139" s="7"/>
      <c r="D139" s="7"/>
      <c r="E139" s="7"/>
      <c r="F139" s="7"/>
      <c r="G139" s="7"/>
      <c r="H139" s="7"/>
    </row>
    <row r="140" spans="2:8" x14ac:dyDescent="0.25">
      <c r="B140" s="23"/>
      <c r="C140" s="7"/>
      <c r="D140" s="7"/>
      <c r="E140" s="7"/>
      <c r="F140" s="7"/>
      <c r="G140" s="7"/>
      <c r="H140" s="7"/>
    </row>
    <row r="141" spans="2:8" x14ac:dyDescent="0.25">
      <c r="B141" s="23"/>
      <c r="C141" s="7"/>
      <c r="D141" s="7"/>
      <c r="E141" s="7"/>
      <c r="F141" s="7"/>
      <c r="G141" s="7"/>
      <c r="H141" s="7"/>
    </row>
    <row r="142" spans="2:8" x14ac:dyDescent="0.25">
      <c r="B142" s="23"/>
      <c r="C142" s="7"/>
      <c r="D142" s="7"/>
      <c r="E142" s="7"/>
      <c r="F142" s="7"/>
      <c r="G142" s="7"/>
      <c r="H142" s="7"/>
    </row>
    <row r="143" spans="2:8" x14ac:dyDescent="0.25">
      <c r="B143" s="23"/>
      <c r="C143" s="7"/>
      <c r="D143" s="7"/>
      <c r="E143" s="7"/>
      <c r="F143" s="7"/>
      <c r="G143" s="7"/>
      <c r="H143" s="7"/>
    </row>
    <row r="144" spans="2:8" x14ac:dyDescent="0.25">
      <c r="B144" s="23"/>
      <c r="C144" s="7"/>
      <c r="D144" s="7"/>
      <c r="E144" s="7"/>
      <c r="F144" s="7"/>
      <c r="G144" s="7"/>
      <c r="H144" s="7"/>
    </row>
    <row r="145" spans="2:8" x14ac:dyDescent="0.25">
      <c r="B145" s="23"/>
      <c r="C145" s="7"/>
      <c r="D145" s="7"/>
      <c r="E145" s="7"/>
      <c r="F145" s="7"/>
      <c r="G145" s="7"/>
      <c r="H145" s="7"/>
    </row>
    <row r="146" spans="2:8" x14ac:dyDescent="0.25">
      <c r="B146" s="23"/>
      <c r="C146" s="7"/>
      <c r="D146" s="7"/>
      <c r="E146" s="7"/>
      <c r="F146" s="7"/>
      <c r="G146" s="7"/>
      <c r="H146" s="7"/>
    </row>
    <row r="147" spans="2:8" x14ac:dyDescent="0.25">
      <c r="B147" s="23"/>
      <c r="C147" s="7"/>
      <c r="D147" s="7"/>
      <c r="E147" s="7"/>
      <c r="F147" s="7"/>
      <c r="G147" s="7"/>
      <c r="H147" s="7"/>
    </row>
    <row r="148" spans="2:8" x14ac:dyDescent="0.25">
      <c r="B148" s="23"/>
      <c r="C148" s="7"/>
      <c r="D148" s="7"/>
      <c r="E148" s="7"/>
      <c r="F148" s="7"/>
      <c r="G148" s="7"/>
      <c r="H148" s="7"/>
    </row>
    <row r="149" spans="2:8" x14ac:dyDescent="0.25">
      <c r="B149" s="23"/>
      <c r="C149" s="7"/>
      <c r="D149" s="7"/>
      <c r="E149" s="7"/>
      <c r="F149" s="7"/>
      <c r="G149" s="7"/>
      <c r="H149" s="7"/>
    </row>
    <row r="150" spans="2:8" x14ac:dyDescent="0.25">
      <c r="B150" s="23"/>
      <c r="C150" s="7"/>
      <c r="D150" s="7"/>
      <c r="E150" s="7"/>
      <c r="F150" s="7"/>
      <c r="G150" s="7"/>
      <c r="H150" s="7"/>
    </row>
    <row r="151" spans="2:8" x14ac:dyDescent="0.25">
      <c r="B151" s="23"/>
      <c r="C151" s="7"/>
      <c r="D151" s="7"/>
      <c r="E151" s="7"/>
      <c r="F151" s="7"/>
      <c r="G151" s="7"/>
      <c r="H151" s="7"/>
    </row>
    <row r="152" spans="2:8" x14ac:dyDescent="0.25">
      <c r="B152" s="23"/>
      <c r="C152" s="7"/>
      <c r="D152" s="7"/>
      <c r="E152" s="7"/>
      <c r="F152" s="7"/>
      <c r="G152" s="7"/>
      <c r="H152" s="7"/>
    </row>
    <row r="153" spans="2:8" x14ac:dyDescent="0.25">
      <c r="B153" s="23"/>
      <c r="C153" s="7"/>
      <c r="D153" s="7"/>
      <c r="E153" s="7"/>
      <c r="F153" s="7"/>
      <c r="G153" s="7"/>
      <c r="H153" s="7"/>
    </row>
    <row r="154" spans="2:8" x14ac:dyDescent="0.25">
      <c r="B154" s="23"/>
      <c r="C154" s="7"/>
      <c r="D154" s="7"/>
      <c r="E154" s="7"/>
      <c r="F154" s="7"/>
      <c r="G154" s="7"/>
      <c r="H154" s="7"/>
    </row>
    <row r="155" spans="2:8" x14ac:dyDescent="0.25">
      <c r="B155" s="23"/>
      <c r="C155" s="7"/>
      <c r="D155" s="7"/>
      <c r="E155" s="7"/>
      <c r="F155" s="7"/>
      <c r="G155" s="7"/>
      <c r="H155" s="7"/>
    </row>
    <row r="156" spans="2:8" x14ac:dyDescent="0.25">
      <c r="B156" s="23"/>
      <c r="C156" s="7"/>
      <c r="D156" s="7"/>
      <c r="E156" s="7"/>
      <c r="F156" s="7"/>
      <c r="G156" s="7"/>
      <c r="H156" s="7"/>
    </row>
    <row r="157" spans="2:8" x14ac:dyDescent="0.25">
      <c r="B157" s="23"/>
      <c r="C157" s="7"/>
      <c r="D157" s="7"/>
      <c r="E157" s="7"/>
      <c r="F157" s="7"/>
      <c r="G157" s="7"/>
      <c r="H157" s="7"/>
    </row>
    <row r="158" spans="2:8" x14ac:dyDescent="0.25">
      <c r="B158" s="23"/>
      <c r="C158" s="7"/>
      <c r="D158" s="7"/>
      <c r="E158" s="7"/>
      <c r="F158" s="7"/>
      <c r="G158" s="7"/>
      <c r="H158" s="7"/>
    </row>
    <row r="159" spans="2:8" x14ac:dyDescent="0.25">
      <c r="B159" s="23"/>
      <c r="C159" s="7"/>
      <c r="D159" s="7"/>
      <c r="E159" s="7"/>
      <c r="F159" s="7"/>
      <c r="G159" s="7"/>
      <c r="H159" s="7"/>
    </row>
    <row r="160" spans="2:8" x14ac:dyDescent="0.25">
      <c r="B160" s="23"/>
      <c r="C160" s="7"/>
      <c r="D160" s="7"/>
      <c r="E160" s="7"/>
      <c r="F160" s="7"/>
      <c r="G160" s="7"/>
      <c r="H160" s="7"/>
    </row>
    <row r="161" spans="2:8" x14ac:dyDescent="0.25">
      <c r="B161" s="23"/>
      <c r="C161" s="7"/>
      <c r="D161" s="7"/>
      <c r="E161" s="7"/>
      <c r="F161" s="7"/>
      <c r="G161" s="7"/>
      <c r="H161" s="7"/>
    </row>
    <row r="162" spans="2:8" x14ac:dyDescent="0.25">
      <c r="B162" s="23"/>
      <c r="C162" s="7"/>
      <c r="D162" s="7"/>
      <c r="E162" s="7"/>
      <c r="F162" s="7"/>
      <c r="G162" s="7"/>
      <c r="H162" s="7"/>
    </row>
    <row r="163" spans="2:8" x14ac:dyDescent="0.25">
      <c r="B163" s="23"/>
      <c r="C163" s="7"/>
      <c r="D163" s="7"/>
      <c r="E163" s="7"/>
      <c r="F163" s="7"/>
      <c r="G163" s="7"/>
      <c r="H163" s="7"/>
    </row>
    <row r="164" spans="2:8" x14ac:dyDescent="0.25">
      <c r="B164" s="23"/>
      <c r="C164" s="7"/>
      <c r="D164" s="7"/>
      <c r="E164" s="7"/>
      <c r="F164" s="7"/>
      <c r="G164" s="7"/>
      <c r="H164" s="7"/>
    </row>
    <row r="165" spans="2:8" x14ac:dyDescent="0.25">
      <c r="B165" s="23"/>
      <c r="C165" s="7"/>
      <c r="D165" s="7"/>
      <c r="E165" s="7"/>
      <c r="F165" s="7"/>
      <c r="G165" s="7"/>
      <c r="H165" s="7"/>
    </row>
    <row r="166" spans="2:8" x14ac:dyDescent="0.25">
      <c r="B166" s="23"/>
      <c r="C166" s="7"/>
      <c r="D166" s="7"/>
      <c r="E166" s="7"/>
      <c r="F166" s="7"/>
      <c r="G166" s="7"/>
      <c r="H166" s="7"/>
    </row>
    <row r="167" spans="2:8" x14ac:dyDescent="0.25">
      <c r="B167" s="23"/>
      <c r="C167" s="7"/>
      <c r="D167" s="7"/>
      <c r="E167" s="7"/>
      <c r="F167" s="7"/>
      <c r="G167" s="7"/>
      <c r="H167" s="7"/>
    </row>
    <row r="168" spans="2:8" x14ac:dyDescent="0.25">
      <c r="B168" s="23"/>
      <c r="C168" s="7"/>
      <c r="D168" s="7"/>
      <c r="E168" s="7"/>
      <c r="F168" s="7"/>
      <c r="G168" s="7"/>
      <c r="H168" s="7"/>
    </row>
    <row r="169" spans="2:8" x14ac:dyDescent="0.25">
      <c r="B169" s="23"/>
      <c r="C169" s="7"/>
      <c r="D169" s="7"/>
      <c r="E169" s="7"/>
      <c r="F169" s="7"/>
      <c r="G169" s="7"/>
      <c r="H169" s="7"/>
    </row>
    <row r="170" spans="2:8" x14ac:dyDescent="0.25">
      <c r="B170" s="23"/>
      <c r="C170" s="7"/>
      <c r="D170" s="7"/>
      <c r="E170" s="7"/>
      <c r="F170" s="7"/>
      <c r="G170" s="7"/>
      <c r="H170" s="7"/>
    </row>
    <row r="171" spans="2:8" x14ac:dyDescent="0.25">
      <c r="B171" s="23"/>
      <c r="C171" s="7"/>
      <c r="D171" s="7"/>
      <c r="E171" s="7"/>
      <c r="F171" s="7"/>
      <c r="G171" s="7"/>
      <c r="H171" s="7"/>
    </row>
    <row r="172" spans="2:8" x14ac:dyDescent="0.25">
      <c r="B172" s="23"/>
      <c r="C172" s="7"/>
      <c r="D172" s="7"/>
      <c r="E172" s="7"/>
      <c r="F172" s="7"/>
      <c r="G172" s="7"/>
      <c r="H172" s="7"/>
    </row>
    <row r="173" spans="2:8" x14ac:dyDescent="0.25">
      <c r="B173" s="23"/>
      <c r="C173" s="7"/>
      <c r="D173" s="7"/>
      <c r="E173" s="7"/>
      <c r="F173" s="7"/>
      <c r="G173" s="7"/>
      <c r="H173" s="7"/>
    </row>
    <row r="174" spans="2:8" x14ac:dyDescent="0.25">
      <c r="B174" s="23"/>
      <c r="C174" s="7"/>
      <c r="D174" s="7"/>
      <c r="E174" s="7"/>
      <c r="F174" s="7"/>
      <c r="G174" s="7"/>
      <c r="H174" s="7"/>
    </row>
    <row r="175" spans="2:8" x14ac:dyDescent="0.25">
      <c r="B175" s="23"/>
      <c r="C175" s="7"/>
      <c r="D175" s="7"/>
      <c r="E175" s="7"/>
      <c r="F175" s="7"/>
      <c r="G175" s="7"/>
      <c r="H175" s="7"/>
    </row>
    <row r="176" spans="2:8" x14ac:dyDescent="0.25">
      <c r="B176" s="23"/>
      <c r="C176" s="7"/>
      <c r="D176" s="7"/>
      <c r="E176" s="7"/>
      <c r="F176" s="7"/>
      <c r="G176" s="7"/>
      <c r="H176" s="7"/>
    </row>
    <row r="177" spans="2:8" x14ac:dyDescent="0.25">
      <c r="B177" s="23"/>
      <c r="C177" s="7"/>
      <c r="D177" s="7"/>
      <c r="E177" s="7"/>
      <c r="F177" s="7"/>
      <c r="G177" s="7"/>
      <c r="H177" s="7"/>
    </row>
    <row r="178" spans="2:8" x14ac:dyDescent="0.25">
      <c r="B178" s="23"/>
      <c r="C178" s="7"/>
      <c r="D178" s="7"/>
      <c r="E178" s="7"/>
      <c r="F178" s="7"/>
      <c r="G178" s="7"/>
      <c r="H178" s="7"/>
    </row>
    <row r="179" spans="2:8" x14ac:dyDescent="0.25">
      <c r="B179" s="23"/>
      <c r="C179" s="7"/>
      <c r="D179" s="7"/>
      <c r="E179" s="7"/>
      <c r="F179" s="7"/>
      <c r="G179" s="7"/>
      <c r="H179" s="7"/>
    </row>
    <row r="180" spans="2:8" x14ac:dyDescent="0.25">
      <c r="B180" s="23"/>
      <c r="C180" s="7"/>
      <c r="D180" s="7"/>
      <c r="E180" s="7"/>
      <c r="F180" s="7"/>
      <c r="G180" s="7"/>
      <c r="H180" s="7"/>
    </row>
    <row r="181" spans="2:8" x14ac:dyDescent="0.25">
      <c r="B181" s="23"/>
      <c r="C181" s="7"/>
      <c r="D181" s="7"/>
      <c r="E181" s="7"/>
      <c r="F181" s="7"/>
      <c r="G181" s="7"/>
      <c r="H181" s="7"/>
    </row>
    <row r="182" spans="2:8" x14ac:dyDescent="0.25">
      <c r="B182" s="23"/>
      <c r="C182" s="7"/>
      <c r="D182" s="7"/>
      <c r="E182" s="7"/>
      <c r="F182" s="7"/>
      <c r="G182" s="7"/>
      <c r="H182" s="7"/>
    </row>
    <row r="183" spans="2:8" x14ac:dyDescent="0.25">
      <c r="B183" s="23"/>
      <c r="C183" s="7"/>
      <c r="D183" s="7"/>
      <c r="E183" s="7"/>
      <c r="F183" s="7"/>
      <c r="G183" s="7"/>
      <c r="H183" s="7"/>
    </row>
    <row r="184" spans="2:8" x14ac:dyDescent="0.25">
      <c r="B184" s="23"/>
      <c r="C184" s="7"/>
      <c r="D184" s="7"/>
      <c r="E184" s="7"/>
      <c r="F184" s="7"/>
      <c r="G184" s="7"/>
      <c r="H184" s="7"/>
    </row>
    <row r="185" spans="2:8" x14ac:dyDescent="0.25">
      <c r="B185" s="23"/>
      <c r="C185" s="7"/>
      <c r="D185" s="7"/>
      <c r="E185" s="7"/>
      <c r="F185" s="7"/>
      <c r="G185" s="7"/>
      <c r="H185" s="7"/>
    </row>
    <row r="186" spans="2:8" x14ac:dyDescent="0.25">
      <c r="B186" s="23"/>
      <c r="C186" s="7"/>
      <c r="D186" s="7"/>
      <c r="E186" s="7"/>
      <c r="F186" s="7"/>
      <c r="G186" s="7"/>
      <c r="H186" s="7"/>
    </row>
    <row r="187" spans="2:8" x14ac:dyDescent="0.25">
      <c r="B187" s="23"/>
      <c r="C187" s="7"/>
      <c r="D187" s="7"/>
      <c r="E187" s="7"/>
      <c r="F187" s="7"/>
      <c r="G187" s="7"/>
      <c r="H187" s="7"/>
    </row>
    <row r="188" spans="2:8" x14ac:dyDescent="0.25">
      <c r="B188" s="23"/>
      <c r="C188" s="7"/>
      <c r="D188" s="7"/>
      <c r="E188" s="7"/>
      <c r="F188" s="7"/>
      <c r="G188" s="7"/>
      <c r="H188" s="7"/>
    </row>
    <row r="189" spans="2:8" x14ac:dyDescent="0.25">
      <c r="B189" s="23"/>
      <c r="C189" s="7"/>
      <c r="D189" s="7"/>
      <c r="E189" s="7"/>
      <c r="F189" s="7"/>
      <c r="G189" s="7"/>
      <c r="H189" s="7"/>
    </row>
    <row r="190" spans="2:8" x14ac:dyDescent="0.25">
      <c r="B190" s="23"/>
      <c r="C190" s="7"/>
      <c r="D190" s="7"/>
      <c r="E190" s="7"/>
      <c r="F190" s="7"/>
      <c r="G190" s="7"/>
      <c r="H190" s="7"/>
    </row>
    <row r="191" spans="2:8" x14ac:dyDescent="0.25">
      <c r="B191" s="23"/>
      <c r="C191" s="7"/>
      <c r="D191" s="7"/>
      <c r="E191" s="7"/>
      <c r="F191" s="7"/>
      <c r="G191" s="7"/>
      <c r="H191" s="7"/>
    </row>
    <row r="192" spans="2:8" x14ac:dyDescent="0.25">
      <c r="B192" s="23"/>
      <c r="C192" s="7"/>
      <c r="D192" s="7"/>
      <c r="E192" s="7"/>
      <c r="F192" s="7"/>
      <c r="G192" s="7"/>
      <c r="H192" s="7"/>
    </row>
    <row r="193" spans="2:8" x14ac:dyDescent="0.25">
      <c r="B193" s="23"/>
      <c r="C193" s="7"/>
      <c r="D193" s="7"/>
      <c r="E193" s="7"/>
      <c r="F193" s="7"/>
      <c r="G193" s="7"/>
      <c r="H193" s="7"/>
    </row>
    <row r="194" spans="2:8" x14ac:dyDescent="0.25">
      <c r="B194" s="23"/>
      <c r="C194" s="7"/>
      <c r="D194" s="7"/>
      <c r="E194" s="7"/>
      <c r="F194" s="7"/>
      <c r="G194" s="7"/>
      <c r="H194" s="7"/>
    </row>
    <row r="195" spans="2:8" x14ac:dyDescent="0.25">
      <c r="B195" s="23"/>
      <c r="C195" s="7"/>
      <c r="D195" s="7"/>
      <c r="E195" s="7"/>
      <c r="F195" s="7"/>
      <c r="G195" s="7"/>
      <c r="H195" s="7"/>
    </row>
    <row r="196" spans="2:8" x14ac:dyDescent="0.25">
      <c r="B196" s="23"/>
      <c r="C196" s="7"/>
      <c r="D196" s="7"/>
      <c r="E196" s="7"/>
      <c r="F196" s="7"/>
      <c r="G196" s="7"/>
      <c r="H196" s="7"/>
    </row>
    <row r="197" spans="2:8" x14ac:dyDescent="0.25">
      <c r="B197" s="23"/>
      <c r="C197" s="7"/>
      <c r="D197" s="7"/>
      <c r="E197" s="7"/>
      <c r="F197" s="7"/>
      <c r="G197" s="7"/>
      <c r="H197" s="7"/>
    </row>
    <row r="198" spans="2:8" x14ac:dyDescent="0.25">
      <c r="B198" s="23"/>
      <c r="C198" s="7"/>
      <c r="D198" s="7"/>
      <c r="E198" s="7"/>
      <c r="F198" s="7"/>
      <c r="G198" s="7"/>
      <c r="H198" s="7"/>
    </row>
    <row r="199" spans="2:8" x14ac:dyDescent="0.25">
      <c r="B199" s="23"/>
      <c r="C199" s="7"/>
      <c r="D199" s="7"/>
      <c r="E199" s="7"/>
      <c r="F199" s="7"/>
      <c r="G199" s="7"/>
      <c r="H199" s="7"/>
    </row>
    <row r="200" spans="2:8" x14ac:dyDescent="0.25">
      <c r="B200" s="23"/>
      <c r="C200" s="7"/>
      <c r="D200" s="7"/>
      <c r="E200" s="7"/>
      <c r="F200" s="7"/>
      <c r="G200" s="7"/>
      <c r="H200" s="7"/>
    </row>
    <row r="201" spans="2:8" x14ac:dyDescent="0.25">
      <c r="B201" s="23"/>
      <c r="C201" s="7"/>
      <c r="D201" s="7"/>
      <c r="E201" s="7"/>
      <c r="F201" s="7"/>
      <c r="G201" s="7"/>
      <c r="H201" s="7"/>
    </row>
    <row r="202" spans="2:8" x14ac:dyDescent="0.25">
      <c r="B202" s="23"/>
      <c r="C202" s="7"/>
      <c r="D202" s="7"/>
      <c r="E202" s="7"/>
      <c r="F202" s="7"/>
      <c r="G202" s="7"/>
      <c r="H202" s="7"/>
    </row>
    <row r="203" spans="2:8" x14ac:dyDescent="0.25">
      <c r="B203" s="23"/>
      <c r="C203" s="7"/>
      <c r="D203" s="7"/>
      <c r="E203" s="7"/>
      <c r="F203" s="7"/>
      <c r="G203" s="7"/>
      <c r="H203" s="7"/>
    </row>
    <row r="204" spans="2:8" x14ac:dyDescent="0.25">
      <c r="B204" s="23"/>
      <c r="C204" s="7"/>
      <c r="D204" s="7"/>
      <c r="E204" s="7"/>
      <c r="F204" s="7"/>
      <c r="G204" s="7"/>
      <c r="H204" s="7"/>
    </row>
    <row r="205" spans="2:8" x14ac:dyDescent="0.25">
      <c r="B205" s="23"/>
      <c r="C205" s="7"/>
      <c r="D205" s="7"/>
      <c r="E205" s="7"/>
      <c r="F205" s="7"/>
      <c r="G205" s="7"/>
      <c r="H205" s="7"/>
    </row>
    <row r="206" spans="2:8" x14ac:dyDescent="0.25">
      <c r="B206" s="23"/>
      <c r="C206" s="7"/>
      <c r="D206" s="7"/>
      <c r="E206" s="7"/>
      <c r="F206" s="7"/>
      <c r="G206" s="7"/>
      <c r="H206" s="7"/>
    </row>
    <row r="207" spans="2:8" x14ac:dyDescent="0.25">
      <c r="B207" s="23"/>
      <c r="C207" s="7"/>
      <c r="D207" s="7"/>
      <c r="E207" s="7"/>
      <c r="F207" s="7"/>
      <c r="G207" s="7"/>
      <c r="H207" s="7"/>
    </row>
    <row r="208" spans="2:8" x14ac:dyDescent="0.25">
      <c r="B208" s="23"/>
      <c r="C208" s="7"/>
      <c r="D208" s="7"/>
      <c r="E208" s="7"/>
      <c r="F208" s="7"/>
      <c r="G208" s="7"/>
      <c r="H208" s="7"/>
    </row>
    <row r="209" spans="2:8" x14ac:dyDescent="0.25">
      <c r="B209" s="23"/>
      <c r="C209" s="7"/>
      <c r="D209" s="7"/>
      <c r="E209" s="7"/>
      <c r="F209" s="7"/>
      <c r="G209" s="7"/>
      <c r="H209" s="7"/>
    </row>
    <row r="210" spans="2:8" x14ac:dyDescent="0.25">
      <c r="B210" s="23"/>
      <c r="C210" s="7"/>
      <c r="D210" s="7"/>
      <c r="E210" s="7"/>
      <c r="F210" s="7"/>
      <c r="G210" s="7"/>
      <c r="H210" s="7"/>
    </row>
    <row r="211" spans="2:8" x14ac:dyDescent="0.25">
      <c r="B211" s="23"/>
      <c r="C211" s="7"/>
      <c r="D211" s="7"/>
      <c r="E211" s="7"/>
      <c r="F211" s="7"/>
      <c r="G211" s="7"/>
      <c r="H211" s="7"/>
    </row>
    <row r="212" spans="2:8" x14ac:dyDescent="0.25">
      <c r="B212" s="23"/>
      <c r="C212" s="7"/>
      <c r="D212" s="7"/>
      <c r="E212" s="7"/>
      <c r="F212" s="7"/>
      <c r="G212" s="7"/>
      <c r="H212" s="7"/>
    </row>
    <row r="213" spans="2:8" x14ac:dyDescent="0.25">
      <c r="B213" s="23"/>
      <c r="C213" s="7"/>
      <c r="D213" s="7"/>
      <c r="E213" s="7"/>
      <c r="F213" s="7"/>
      <c r="G213" s="7"/>
      <c r="H213" s="7"/>
    </row>
    <row r="214" spans="2:8" x14ac:dyDescent="0.25">
      <c r="B214" s="23"/>
      <c r="C214" s="7"/>
      <c r="D214" s="7"/>
      <c r="E214" s="7"/>
      <c r="F214" s="7"/>
      <c r="G214" s="7"/>
      <c r="H214" s="7"/>
    </row>
    <row r="215" spans="2:8" x14ac:dyDescent="0.25">
      <c r="B215" s="23"/>
      <c r="C215" s="7"/>
      <c r="D215" s="7"/>
      <c r="E215" s="7"/>
      <c r="F215" s="7"/>
      <c r="G215" s="7"/>
      <c r="H215" s="7"/>
    </row>
    <row r="216" spans="2:8" x14ac:dyDescent="0.25">
      <c r="B216" s="23"/>
      <c r="C216" s="7"/>
      <c r="D216" s="7"/>
      <c r="E216" s="7"/>
      <c r="F216" s="7"/>
      <c r="G216" s="7"/>
      <c r="H216" s="7"/>
    </row>
    <row r="217" spans="2:8" x14ac:dyDescent="0.25">
      <c r="B217" s="23"/>
      <c r="C217" s="7"/>
      <c r="D217" s="7"/>
      <c r="E217" s="7"/>
      <c r="F217" s="7"/>
      <c r="G217" s="7"/>
      <c r="H217" s="7"/>
    </row>
    <row r="218" spans="2:8" x14ac:dyDescent="0.25">
      <c r="B218" s="23"/>
      <c r="C218" s="7"/>
      <c r="D218" s="7"/>
      <c r="E218" s="7"/>
      <c r="F218" s="7"/>
      <c r="G218" s="7"/>
      <c r="H218" s="7"/>
    </row>
    <row r="219" spans="2:8" x14ac:dyDescent="0.25">
      <c r="B219" s="23"/>
      <c r="C219" s="7"/>
      <c r="D219" s="7"/>
      <c r="E219" s="7"/>
      <c r="F219" s="7"/>
      <c r="G219" s="7"/>
      <c r="H219" s="7"/>
    </row>
    <row r="220" spans="2:8" x14ac:dyDescent="0.25">
      <c r="B220" s="23"/>
      <c r="C220" s="7"/>
      <c r="D220" s="7"/>
      <c r="E220" s="7"/>
      <c r="F220" s="7"/>
      <c r="G220" s="7"/>
      <c r="H220" s="7"/>
    </row>
    <row r="221" spans="2:8" x14ac:dyDescent="0.25">
      <c r="B221" s="23"/>
      <c r="C221" s="7"/>
      <c r="D221" s="7"/>
      <c r="E221" s="7"/>
      <c r="F221" s="7"/>
      <c r="G221" s="7"/>
      <c r="H221" s="7"/>
    </row>
    <row r="222" spans="2:8" x14ac:dyDescent="0.25">
      <c r="B222" s="23"/>
      <c r="C222" s="7"/>
      <c r="D222" s="7"/>
      <c r="E222" s="7"/>
      <c r="F222" s="7"/>
      <c r="G222" s="7"/>
      <c r="H222" s="7"/>
    </row>
    <row r="223" spans="2:8" x14ac:dyDescent="0.25">
      <c r="B223" s="23"/>
      <c r="C223" s="7"/>
      <c r="D223" s="7"/>
      <c r="E223" s="7"/>
      <c r="F223" s="7"/>
      <c r="G223" s="7"/>
      <c r="H223" s="7"/>
    </row>
    <row r="224" spans="2:8" x14ac:dyDescent="0.25">
      <c r="B224" s="23"/>
      <c r="C224" s="7"/>
      <c r="D224" s="7"/>
      <c r="E224" s="7"/>
      <c r="F224" s="7"/>
      <c r="G224" s="7"/>
      <c r="H224" s="7"/>
    </row>
    <row r="225" spans="2:8" x14ac:dyDescent="0.25">
      <c r="B225" s="23"/>
      <c r="C225" s="7"/>
      <c r="D225" s="7"/>
      <c r="E225" s="7"/>
      <c r="F225" s="7"/>
      <c r="G225" s="7"/>
      <c r="H225" s="7"/>
    </row>
    <row r="226" spans="2:8" x14ac:dyDescent="0.25">
      <c r="B226" s="23"/>
      <c r="C226" s="7"/>
      <c r="D226" s="7"/>
      <c r="E226" s="7"/>
      <c r="F226" s="7"/>
      <c r="G226" s="7"/>
      <c r="H226" s="7"/>
    </row>
    <row r="227" spans="2:8" x14ac:dyDescent="0.25">
      <c r="B227" s="23"/>
      <c r="C227" s="7"/>
      <c r="D227" s="7"/>
      <c r="E227" s="7"/>
      <c r="F227" s="7"/>
      <c r="G227" s="7"/>
      <c r="H227" s="7"/>
    </row>
    <row r="228" spans="2:8" x14ac:dyDescent="0.25">
      <c r="B228" s="23"/>
      <c r="C228" s="7"/>
      <c r="D228" s="7"/>
      <c r="E228" s="7"/>
      <c r="F228" s="7"/>
      <c r="G228" s="7"/>
      <c r="H228" s="7"/>
    </row>
    <row r="229" spans="2:8" x14ac:dyDescent="0.25">
      <c r="B229" s="23"/>
      <c r="C229" s="7"/>
      <c r="D229" s="7"/>
      <c r="E229" s="7"/>
      <c r="F229" s="7"/>
      <c r="G229" s="7"/>
      <c r="H229" s="7"/>
    </row>
    <row r="230" spans="2:8" x14ac:dyDescent="0.25">
      <c r="B230" s="23"/>
      <c r="C230" s="7"/>
      <c r="D230" s="7"/>
      <c r="E230" s="7"/>
      <c r="F230" s="7"/>
      <c r="G230" s="7"/>
      <c r="H230" s="7"/>
    </row>
    <row r="231" spans="2:8" x14ac:dyDescent="0.25">
      <c r="B231" s="23"/>
      <c r="C231" s="7"/>
      <c r="D231" s="7"/>
      <c r="E231" s="7"/>
      <c r="F231" s="7"/>
      <c r="G231" s="7"/>
      <c r="H231" s="7"/>
    </row>
    <row r="232" spans="2:8" x14ac:dyDescent="0.25">
      <c r="B232" s="23"/>
      <c r="C232" s="7"/>
      <c r="D232" s="7"/>
      <c r="E232" s="7"/>
      <c r="F232" s="7"/>
      <c r="G232" s="7"/>
      <c r="H232" s="7"/>
    </row>
    <row r="233" spans="2:8" x14ac:dyDescent="0.25">
      <c r="B233" s="23"/>
      <c r="C233" s="7"/>
      <c r="D233" s="7"/>
      <c r="E233" s="7"/>
      <c r="F233" s="7"/>
      <c r="G233" s="7"/>
      <c r="H233" s="7"/>
    </row>
    <row r="234" spans="2:8" x14ac:dyDescent="0.25">
      <c r="B234" s="23"/>
      <c r="C234" s="7"/>
      <c r="D234" s="7"/>
      <c r="E234" s="7"/>
      <c r="F234" s="7"/>
      <c r="G234" s="7"/>
      <c r="H234" s="7"/>
    </row>
    <row r="235" spans="2:8" x14ac:dyDescent="0.25">
      <c r="B235" s="23"/>
      <c r="C235" s="7"/>
      <c r="D235" s="7"/>
      <c r="E235" s="7"/>
      <c r="F235" s="7"/>
      <c r="G235" s="7"/>
      <c r="H235" s="7"/>
    </row>
    <row r="236" spans="2:8" x14ac:dyDescent="0.25">
      <c r="B236" s="23"/>
      <c r="C236" s="7"/>
      <c r="D236" s="7"/>
      <c r="E236" s="7"/>
      <c r="F236" s="7"/>
      <c r="G236" s="7"/>
      <c r="H236" s="7"/>
    </row>
    <row r="237" spans="2:8" x14ac:dyDescent="0.25">
      <c r="B237" s="23"/>
      <c r="C237" s="7"/>
      <c r="D237" s="7"/>
      <c r="E237" s="7"/>
      <c r="F237" s="7"/>
      <c r="G237" s="7"/>
      <c r="H237" s="7"/>
    </row>
    <row r="238" spans="2:8" x14ac:dyDescent="0.25">
      <c r="B238" s="23"/>
      <c r="C238" s="7"/>
      <c r="D238" s="7"/>
      <c r="E238" s="7"/>
      <c r="F238" s="7"/>
      <c r="G238" s="7"/>
      <c r="H238" s="7"/>
    </row>
    <row r="239" spans="2:8" x14ac:dyDescent="0.25">
      <c r="B239" s="23"/>
      <c r="C239" s="7"/>
      <c r="D239" s="7"/>
      <c r="E239" s="7"/>
      <c r="F239" s="7"/>
      <c r="G239" s="7"/>
      <c r="H239" s="7"/>
    </row>
    <row r="240" spans="2:8" x14ac:dyDescent="0.25">
      <c r="B240" s="23"/>
      <c r="C240" s="7"/>
      <c r="D240" s="7"/>
      <c r="E240" s="7"/>
      <c r="F240" s="7"/>
      <c r="G240" s="7"/>
      <c r="H240" s="7"/>
    </row>
    <row r="241" spans="2:8" x14ac:dyDescent="0.25">
      <c r="B241" s="23"/>
      <c r="C241" s="7"/>
      <c r="D241" s="7"/>
      <c r="E241" s="7"/>
      <c r="F241" s="7"/>
      <c r="G241" s="7"/>
      <c r="H241" s="7"/>
    </row>
    <row r="242" spans="2:8" x14ac:dyDescent="0.25">
      <c r="B242" s="23"/>
      <c r="C242" s="7"/>
      <c r="D242" s="7"/>
      <c r="E242" s="7"/>
      <c r="F242" s="7"/>
      <c r="G242" s="7"/>
      <c r="H242" s="7"/>
    </row>
    <row r="243" spans="2:8" x14ac:dyDescent="0.25">
      <c r="B243" s="23"/>
      <c r="C243" s="7"/>
      <c r="D243" s="7"/>
      <c r="E243" s="7"/>
      <c r="F243" s="7"/>
      <c r="G243" s="7"/>
      <c r="H243" s="7"/>
    </row>
    <row r="244" spans="2:8" x14ac:dyDescent="0.25">
      <c r="B244" s="23"/>
      <c r="C244" s="7"/>
      <c r="D244" s="7"/>
      <c r="E244" s="7"/>
      <c r="F244" s="7"/>
      <c r="G244" s="7"/>
      <c r="H244" s="7"/>
    </row>
    <row r="245" spans="2:8" x14ac:dyDescent="0.25">
      <c r="B245" s="23"/>
      <c r="C245" s="7"/>
      <c r="D245" s="7"/>
      <c r="E245" s="7"/>
      <c r="F245" s="7"/>
      <c r="G245" s="7"/>
      <c r="H245" s="7"/>
    </row>
    <row r="246" spans="2:8" x14ac:dyDescent="0.25">
      <c r="B246" s="23"/>
      <c r="C246" s="7"/>
      <c r="D246" s="7"/>
      <c r="E246" s="7"/>
      <c r="F246" s="7"/>
      <c r="G246" s="7"/>
      <c r="H246" s="7"/>
    </row>
    <row r="247" spans="2:8" x14ac:dyDescent="0.25">
      <c r="B247" s="23"/>
      <c r="C247" s="7"/>
      <c r="D247" s="7"/>
      <c r="E247" s="7"/>
      <c r="F247" s="7"/>
      <c r="G247" s="7"/>
      <c r="H247" s="7"/>
    </row>
    <row r="248" spans="2:8" x14ac:dyDescent="0.25">
      <c r="B248" s="23"/>
      <c r="C248" s="7"/>
      <c r="D248" s="7"/>
      <c r="E248" s="7"/>
      <c r="F248" s="7"/>
      <c r="G248" s="7"/>
      <c r="H248" s="7"/>
    </row>
    <row r="249" spans="2:8" x14ac:dyDescent="0.25">
      <c r="B249" s="23"/>
      <c r="C249" s="7"/>
      <c r="D249" s="7"/>
      <c r="E249" s="7"/>
      <c r="F249" s="7"/>
      <c r="G249" s="7"/>
      <c r="H249" s="7"/>
    </row>
    <row r="250" spans="2:8" x14ac:dyDescent="0.25">
      <c r="B250" s="23"/>
      <c r="C250" s="7"/>
      <c r="D250" s="7"/>
      <c r="E250" s="7"/>
      <c r="F250" s="7"/>
      <c r="G250" s="7"/>
      <c r="H250" s="7"/>
    </row>
    <row r="251" spans="2:8" x14ac:dyDescent="0.25">
      <c r="B251" s="23"/>
      <c r="C251" s="7"/>
      <c r="D251" s="7"/>
      <c r="E251" s="7"/>
      <c r="F251" s="7"/>
      <c r="G251" s="7"/>
      <c r="H251" s="7"/>
    </row>
    <row r="252" spans="2:8" x14ac:dyDescent="0.25">
      <c r="B252" s="23"/>
      <c r="C252" s="7"/>
      <c r="D252" s="7"/>
      <c r="E252" s="7"/>
      <c r="F252" s="7"/>
      <c r="G252" s="7"/>
      <c r="H252" s="7"/>
    </row>
  </sheetData>
  <mergeCells count="2">
    <mergeCell ref="D16:E16"/>
    <mergeCell ref="L16:M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Q6_Simps_Rule_UDI">
                <anchor moveWithCells="1" sizeWithCells="1">
                  <from>
                    <xdr:col>1</xdr:col>
                    <xdr:colOff>381000</xdr:colOff>
                    <xdr:row>14</xdr:row>
                    <xdr:rowOff>133350</xdr:rowOff>
                  </from>
                  <to>
                    <xdr:col>6</xdr:col>
                    <xdr:colOff>609600</xdr:colOff>
                    <xdr:row>14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C736B-B50E-4206-8826-C1E5C900CF99}">
  <sheetPr codeName="Sheet3"/>
  <dimension ref="A1:A437"/>
  <sheetViews>
    <sheetView topLeftCell="A157" workbookViewId="0">
      <selection activeCell="G17" sqref="G17"/>
    </sheetView>
  </sheetViews>
  <sheetFormatPr defaultRowHeight="15" x14ac:dyDescent="0.25"/>
  <cols>
    <col min="1" max="1" width="100.7109375" customWidth="1"/>
  </cols>
  <sheetData>
    <row r="1" spans="1:1" ht="15.75" x14ac:dyDescent="0.25">
      <c r="A1" s="9" t="s">
        <v>12</v>
      </c>
    </row>
    <row r="3" spans="1:1" x14ac:dyDescent="0.25">
      <c r="A3" s="26" t="s">
        <v>32</v>
      </c>
    </row>
    <row r="4" spans="1:1" x14ac:dyDescent="0.25">
      <c r="A4" s="10"/>
    </row>
    <row r="5" spans="1:1" x14ac:dyDescent="0.25">
      <c r="A5" s="10" t="s">
        <v>33</v>
      </c>
    </row>
    <row r="6" spans="1:1" x14ac:dyDescent="0.25">
      <c r="A6" s="10" t="s">
        <v>34</v>
      </c>
    </row>
    <row r="7" spans="1:1" x14ac:dyDescent="0.25">
      <c r="A7" s="10" t="s">
        <v>35</v>
      </c>
    </row>
    <row r="8" spans="1:1" x14ac:dyDescent="0.25">
      <c r="A8" s="10"/>
    </row>
    <row r="9" spans="1:1" x14ac:dyDescent="0.25">
      <c r="A9" s="10" t="s">
        <v>36</v>
      </c>
    </row>
    <row r="10" spans="1:1" x14ac:dyDescent="0.25">
      <c r="A10" s="10" t="s">
        <v>37</v>
      </c>
    </row>
    <row r="11" spans="1:1" x14ac:dyDescent="0.25">
      <c r="A11" s="10" t="s">
        <v>38</v>
      </c>
    </row>
    <row r="12" spans="1:1" x14ac:dyDescent="0.25">
      <c r="A12" s="10" t="s">
        <v>39</v>
      </c>
    </row>
    <row r="13" spans="1:1" x14ac:dyDescent="0.25">
      <c r="A13" s="10"/>
    </row>
    <row r="14" spans="1:1" x14ac:dyDescent="0.25">
      <c r="A14" s="10" t="s">
        <v>40</v>
      </c>
    </row>
    <row r="15" spans="1:1" x14ac:dyDescent="0.25">
      <c r="A15" s="10" t="s">
        <v>41</v>
      </c>
    </row>
    <row r="16" spans="1:1" x14ac:dyDescent="0.25">
      <c r="A16" s="10"/>
    </row>
    <row r="17" spans="1:1" x14ac:dyDescent="0.25">
      <c r="A17" s="10" t="s">
        <v>42</v>
      </c>
    </row>
    <row r="18" spans="1:1" x14ac:dyDescent="0.25">
      <c r="A18" s="10" t="s">
        <v>43</v>
      </c>
    </row>
    <row r="19" spans="1:1" x14ac:dyDescent="0.25">
      <c r="A19" s="10" t="s">
        <v>44</v>
      </c>
    </row>
    <row r="20" spans="1:1" x14ac:dyDescent="0.25">
      <c r="A20" s="10"/>
    </row>
    <row r="21" spans="1:1" x14ac:dyDescent="0.25">
      <c r="A21" s="10" t="s">
        <v>45</v>
      </c>
    </row>
    <row r="22" spans="1:1" x14ac:dyDescent="0.25">
      <c r="A22" s="10"/>
    </row>
    <row r="23" spans="1:1" x14ac:dyDescent="0.25">
      <c r="A23" s="10" t="s">
        <v>46</v>
      </c>
    </row>
    <row r="24" spans="1:1" x14ac:dyDescent="0.25">
      <c r="A24" s="10" t="s">
        <v>47</v>
      </c>
    </row>
    <row r="25" spans="1:1" x14ac:dyDescent="0.25">
      <c r="A25" s="10" t="s">
        <v>48</v>
      </c>
    </row>
    <row r="26" spans="1:1" x14ac:dyDescent="0.25">
      <c r="A26" s="10"/>
    </row>
    <row r="27" spans="1:1" x14ac:dyDescent="0.25">
      <c r="A27" s="10" t="s">
        <v>49</v>
      </c>
    </row>
    <row r="28" spans="1:1" x14ac:dyDescent="0.25">
      <c r="A28" s="10" t="s">
        <v>50</v>
      </c>
    </row>
    <row r="29" spans="1:1" x14ac:dyDescent="0.25">
      <c r="A29" s="10"/>
    </row>
    <row r="30" spans="1:1" x14ac:dyDescent="0.25">
      <c r="A30" s="10" t="s">
        <v>51</v>
      </c>
    </row>
    <row r="31" spans="1:1" x14ac:dyDescent="0.25">
      <c r="A31" s="10"/>
    </row>
    <row r="32" spans="1:1" x14ac:dyDescent="0.25">
      <c r="A32" s="10" t="s">
        <v>52</v>
      </c>
    </row>
    <row r="33" spans="1:1" x14ac:dyDescent="0.25">
      <c r="A33" s="10" t="s">
        <v>53</v>
      </c>
    </row>
    <row r="34" spans="1:1" x14ac:dyDescent="0.25">
      <c r="A34" s="10" t="s">
        <v>54</v>
      </c>
    </row>
    <row r="35" spans="1:1" x14ac:dyDescent="0.25">
      <c r="A35" s="10"/>
    </row>
    <row r="36" spans="1:1" x14ac:dyDescent="0.25">
      <c r="A36" s="10" t="s">
        <v>55</v>
      </c>
    </row>
    <row r="37" spans="1:1" x14ac:dyDescent="0.25">
      <c r="A37" s="10" t="s">
        <v>56</v>
      </c>
    </row>
    <row r="38" spans="1:1" x14ac:dyDescent="0.25">
      <c r="A38" s="10" t="s">
        <v>57</v>
      </c>
    </row>
    <row r="39" spans="1:1" x14ac:dyDescent="0.25">
      <c r="A39" s="10" t="s">
        <v>58</v>
      </c>
    </row>
    <row r="40" spans="1:1" x14ac:dyDescent="0.25">
      <c r="A40" s="10" t="s">
        <v>59</v>
      </c>
    </row>
    <row r="41" spans="1:1" x14ac:dyDescent="0.25">
      <c r="A41" s="10" t="s">
        <v>60</v>
      </c>
    </row>
    <row r="42" spans="1:1" x14ac:dyDescent="0.25">
      <c r="A42" s="10" t="s">
        <v>61</v>
      </c>
    </row>
    <row r="43" spans="1:1" x14ac:dyDescent="0.25">
      <c r="A43" s="10" t="s">
        <v>62</v>
      </c>
    </row>
    <row r="44" spans="1:1" x14ac:dyDescent="0.25">
      <c r="A44" s="10"/>
    </row>
    <row r="45" spans="1:1" x14ac:dyDescent="0.25">
      <c r="A45" s="10" t="s">
        <v>63</v>
      </c>
    </row>
    <row r="46" spans="1:1" x14ac:dyDescent="0.25">
      <c r="A46" s="10" t="s">
        <v>64</v>
      </c>
    </row>
    <row r="47" spans="1:1" x14ac:dyDescent="0.25">
      <c r="A47" s="10" t="s">
        <v>65</v>
      </c>
    </row>
    <row r="48" spans="1:1" x14ac:dyDescent="0.25">
      <c r="A48" s="10" t="s">
        <v>66</v>
      </c>
    </row>
    <row r="49" spans="1:1" x14ac:dyDescent="0.25">
      <c r="A49" s="10" t="s">
        <v>67</v>
      </c>
    </row>
    <row r="50" spans="1:1" x14ac:dyDescent="0.25">
      <c r="A50" s="10" t="s">
        <v>68</v>
      </c>
    </row>
    <row r="51" spans="1:1" x14ac:dyDescent="0.25">
      <c r="A51" s="10" t="s">
        <v>60</v>
      </c>
    </row>
    <row r="52" spans="1:1" x14ac:dyDescent="0.25">
      <c r="A52" s="10" t="s">
        <v>61</v>
      </c>
    </row>
    <row r="53" spans="1:1" x14ac:dyDescent="0.25">
      <c r="A53" s="10" t="s">
        <v>69</v>
      </c>
    </row>
    <row r="54" spans="1:1" x14ac:dyDescent="0.25">
      <c r="A54" s="10" t="s">
        <v>70</v>
      </c>
    </row>
    <row r="55" spans="1:1" x14ac:dyDescent="0.25">
      <c r="A55" s="10" t="s">
        <v>62</v>
      </c>
    </row>
    <row r="56" spans="1:1" x14ac:dyDescent="0.25">
      <c r="A56" s="10"/>
    </row>
    <row r="57" spans="1:1" x14ac:dyDescent="0.25">
      <c r="A57" s="10" t="s">
        <v>71</v>
      </c>
    </row>
    <row r="58" spans="1:1" x14ac:dyDescent="0.25">
      <c r="A58" s="10" t="s">
        <v>72</v>
      </c>
    </row>
    <row r="59" spans="1:1" x14ac:dyDescent="0.25">
      <c r="A59" s="10" t="s">
        <v>73</v>
      </c>
    </row>
    <row r="60" spans="1:1" x14ac:dyDescent="0.25">
      <c r="A60" s="10" t="s">
        <v>74</v>
      </c>
    </row>
    <row r="61" spans="1:1" x14ac:dyDescent="0.25">
      <c r="A61" s="10" t="s">
        <v>75</v>
      </c>
    </row>
    <row r="62" spans="1:1" x14ac:dyDescent="0.25">
      <c r="A62" s="10" t="s">
        <v>76</v>
      </c>
    </row>
    <row r="63" spans="1:1" x14ac:dyDescent="0.25">
      <c r="A63" s="10" t="s">
        <v>77</v>
      </c>
    </row>
    <row r="64" spans="1:1" x14ac:dyDescent="0.25">
      <c r="A64" s="10" t="s">
        <v>60</v>
      </c>
    </row>
    <row r="65" spans="1:1" x14ac:dyDescent="0.25">
      <c r="A65" s="10" t="s">
        <v>78</v>
      </c>
    </row>
    <row r="66" spans="1:1" x14ac:dyDescent="0.25">
      <c r="A66" s="10" t="s">
        <v>79</v>
      </c>
    </row>
    <row r="67" spans="1:1" x14ac:dyDescent="0.25">
      <c r="A67" s="10" t="s">
        <v>80</v>
      </c>
    </row>
    <row r="68" spans="1:1" x14ac:dyDescent="0.25">
      <c r="A68" s="10" t="s">
        <v>69</v>
      </c>
    </row>
    <row r="69" spans="1:1" x14ac:dyDescent="0.25">
      <c r="A69" s="10" t="s">
        <v>81</v>
      </c>
    </row>
    <row r="70" spans="1:1" x14ac:dyDescent="0.25">
      <c r="A70" s="10" t="s">
        <v>62</v>
      </c>
    </row>
    <row r="71" spans="1:1" x14ac:dyDescent="0.25">
      <c r="A71" s="10"/>
    </row>
    <row r="72" spans="1:1" x14ac:dyDescent="0.25">
      <c r="A72" s="10" t="s">
        <v>82</v>
      </c>
    </row>
    <row r="73" spans="1:1" x14ac:dyDescent="0.25">
      <c r="A73" s="10"/>
    </row>
    <row r="74" spans="1:1" x14ac:dyDescent="0.25">
      <c r="A74" s="26" t="s">
        <v>122</v>
      </c>
    </row>
    <row r="75" spans="1:1" x14ac:dyDescent="0.25">
      <c r="A75" s="10"/>
    </row>
    <row r="76" spans="1:1" x14ac:dyDescent="0.25">
      <c r="A76" s="10" t="s">
        <v>123</v>
      </c>
    </row>
    <row r="77" spans="1:1" x14ac:dyDescent="0.25">
      <c r="A77" s="10" t="s">
        <v>124</v>
      </c>
    </row>
    <row r="78" spans="1:1" x14ac:dyDescent="0.25">
      <c r="A78" s="10" t="s">
        <v>125</v>
      </c>
    </row>
    <row r="79" spans="1:1" x14ac:dyDescent="0.25">
      <c r="A79" s="10" t="s">
        <v>126</v>
      </c>
    </row>
    <row r="80" spans="1:1" x14ac:dyDescent="0.25">
      <c r="A80" s="10"/>
    </row>
    <row r="81" spans="1:1" x14ac:dyDescent="0.25">
      <c r="A81" s="10" t="s">
        <v>127</v>
      </c>
    </row>
    <row r="82" spans="1:1" x14ac:dyDescent="0.25">
      <c r="A82" s="10"/>
    </row>
    <row r="83" spans="1:1" x14ac:dyDescent="0.25">
      <c r="A83" s="10" t="s">
        <v>128</v>
      </c>
    </row>
    <row r="84" spans="1:1" x14ac:dyDescent="0.25">
      <c r="A84" s="10" t="s">
        <v>129</v>
      </c>
    </row>
    <row r="85" spans="1:1" x14ac:dyDescent="0.25">
      <c r="A85" s="10"/>
    </row>
    <row r="86" spans="1:1" x14ac:dyDescent="0.25">
      <c r="A86" s="10" t="s">
        <v>130</v>
      </c>
    </row>
    <row r="87" spans="1:1" x14ac:dyDescent="0.25">
      <c r="A87" s="10" t="s">
        <v>131</v>
      </c>
    </row>
    <row r="88" spans="1:1" x14ac:dyDescent="0.25">
      <c r="A88" s="10"/>
    </row>
    <row r="89" spans="1:1" x14ac:dyDescent="0.25">
      <c r="A89" s="10" t="s">
        <v>132</v>
      </c>
    </row>
    <row r="90" spans="1:1" x14ac:dyDescent="0.25">
      <c r="A90" s="10" t="s">
        <v>133</v>
      </c>
    </row>
    <row r="91" spans="1:1" x14ac:dyDescent="0.25">
      <c r="A91" s="10" t="s">
        <v>134</v>
      </c>
    </row>
    <row r="92" spans="1:1" x14ac:dyDescent="0.25">
      <c r="A92" s="10"/>
    </row>
    <row r="93" spans="1:1" x14ac:dyDescent="0.25">
      <c r="A93" s="10" t="s">
        <v>135</v>
      </c>
    </row>
    <row r="94" spans="1:1" x14ac:dyDescent="0.25">
      <c r="A94" s="10"/>
    </row>
    <row r="95" spans="1:1" x14ac:dyDescent="0.25">
      <c r="A95" s="10" t="s">
        <v>136</v>
      </c>
    </row>
    <row r="96" spans="1:1" x14ac:dyDescent="0.25">
      <c r="A96" s="10" t="s">
        <v>137</v>
      </c>
    </row>
    <row r="97" spans="1:1" x14ac:dyDescent="0.25">
      <c r="A97" s="10" t="s">
        <v>138</v>
      </c>
    </row>
    <row r="98" spans="1:1" x14ac:dyDescent="0.25">
      <c r="A98" s="10" t="s">
        <v>139</v>
      </c>
    </row>
    <row r="99" spans="1:1" x14ac:dyDescent="0.25">
      <c r="A99" s="10"/>
    </row>
    <row r="100" spans="1:1" x14ac:dyDescent="0.25">
      <c r="A100" s="10" t="s">
        <v>140</v>
      </c>
    </row>
    <row r="101" spans="1:1" x14ac:dyDescent="0.25">
      <c r="A101" s="10" t="s">
        <v>141</v>
      </c>
    </row>
    <row r="102" spans="1:1" x14ac:dyDescent="0.25">
      <c r="A102" s="10" t="s">
        <v>142</v>
      </c>
    </row>
    <row r="103" spans="1:1" x14ac:dyDescent="0.25">
      <c r="A103" s="10" t="s">
        <v>143</v>
      </c>
    </row>
    <row r="104" spans="1:1" x14ac:dyDescent="0.25">
      <c r="A104" s="10" t="s">
        <v>144</v>
      </c>
    </row>
    <row r="105" spans="1:1" x14ac:dyDescent="0.25">
      <c r="A105" s="10" t="s">
        <v>145</v>
      </c>
    </row>
    <row r="106" spans="1:1" x14ac:dyDescent="0.25">
      <c r="A106" s="10"/>
    </row>
    <row r="107" spans="1:1" x14ac:dyDescent="0.25">
      <c r="A107" s="10" t="s">
        <v>146</v>
      </c>
    </row>
    <row r="108" spans="1:1" x14ac:dyDescent="0.25">
      <c r="A108" s="10" t="s">
        <v>147</v>
      </c>
    </row>
    <row r="109" spans="1:1" x14ac:dyDescent="0.25">
      <c r="A109" s="10"/>
    </row>
    <row r="110" spans="1:1" x14ac:dyDescent="0.25">
      <c r="A110" s="10" t="s">
        <v>148</v>
      </c>
    </row>
    <row r="111" spans="1:1" x14ac:dyDescent="0.25">
      <c r="A111" s="10" t="s">
        <v>149</v>
      </c>
    </row>
    <row r="112" spans="1:1" x14ac:dyDescent="0.25">
      <c r="A112" s="10" t="s">
        <v>150</v>
      </c>
    </row>
    <row r="113" spans="1:1" x14ac:dyDescent="0.25">
      <c r="A113" s="10" t="s">
        <v>151</v>
      </c>
    </row>
    <row r="114" spans="1:1" x14ac:dyDescent="0.25">
      <c r="A114" s="10" t="s">
        <v>152</v>
      </c>
    </row>
    <row r="115" spans="1:1" x14ac:dyDescent="0.25">
      <c r="A115" s="10" t="s">
        <v>153</v>
      </c>
    </row>
    <row r="116" spans="1:1" x14ac:dyDescent="0.25">
      <c r="A116" s="10" t="s">
        <v>154</v>
      </c>
    </row>
    <row r="117" spans="1:1" x14ac:dyDescent="0.25">
      <c r="A117" s="10" t="s">
        <v>155</v>
      </c>
    </row>
    <row r="118" spans="1:1" x14ac:dyDescent="0.25">
      <c r="A118" s="10" t="s">
        <v>156</v>
      </c>
    </row>
    <row r="119" spans="1:1" x14ac:dyDescent="0.25">
      <c r="A119" s="10" t="s">
        <v>157</v>
      </c>
    </row>
    <row r="120" spans="1:1" x14ac:dyDescent="0.25">
      <c r="A120" s="10" t="s">
        <v>158</v>
      </c>
    </row>
    <row r="121" spans="1:1" x14ac:dyDescent="0.25">
      <c r="A121" s="10" t="s">
        <v>159</v>
      </c>
    </row>
    <row r="122" spans="1:1" x14ac:dyDescent="0.25">
      <c r="A122" s="10" t="s">
        <v>160</v>
      </c>
    </row>
    <row r="123" spans="1:1" x14ac:dyDescent="0.25">
      <c r="A123" s="10" t="s">
        <v>161</v>
      </c>
    </row>
    <row r="124" spans="1:1" x14ac:dyDescent="0.25">
      <c r="A124" s="10" t="s">
        <v>162</v>
      </c>
    </row>
    <row r="125" spans="1:1" x14ac:dyDescent="0.25">
      <c r="A125" s="10" t="s">
        <v>163</v>
      </c>
    </row>
    <row r="126" spans="1:1" x14ac:dyDescent="0.25">
      <c r="A126" s="10" t="s">
        <v>164</v>
      </c>
    </row>
    <row r="127" spans="1:1" x14ac:dyDescent="0.25">
      <c r="A127" s="10" t="s">
        <v>165</v>
      </c>
    </row>
    <row r="128" spans="1:1" x14ac:dyDescent="0.25">
      <c r="A128" s="10" t="s">
        <v>166</v>
      </c>
    </row>
    <row r="129" spans="1:1" x14ac:dyDescent="0.25">
      <c r="A129" s="10" t="s">
        <v>167</v>
      </c>
    </row>
    <row r="130" spans="1:1" x14ac:dyDescent="0.25">
      <c r="A130" s="10" t="s">
        <v>168</v>
      </c>
    </row>
    <row r="131" spans="1:1" x14ac:dyDescent="0.25">
      <c r="A131" s="10" t="s">
        <v>169</v>
      </c>
    </row>
    <row r="132" spans="1:1" x14ac:dyDescent="0.25">
      <c r="A132" s="10"/>
    </row>
    <row r="133" spans="1:1" x14ac:dyDescent="0.25">
      <c r="A133" s="10" t="s">
        <v>170</v>
      </c>
    </row>
    <row r="134" spans="1:1" x14ac:dyDescent="0.25">
      <c r="A134" s="10" t="s">
        <v>171</v>
      </c>
    </row>
    <row r="135" spans="1:1" x14ac:dyDescent="0.25">
      <c r="A135" s="10"/>
    </row>
    <row r="136" spans="1:1" x14ac:dyDescent="0.25">
      <c r="A136" s="10" t="s">
        <v>172</v>
      </c>
    </row>
    <row r="137" spans="1:1" x14ac:dyDescent="0.25">
      <c r="A137" s="10" t="s">
        <v>173</v>
      </c>
    </row>
    <row r="138" spans="1:1" x14ac:dyDescent="0.25">
      <c r="A138" s="10" t="s">
        <v>174</v>
      </c>
    </row>
    <row r="139" spans="1:1" x14ac:dyDescent="0.25">
      <c r="A139" s="10" t="s">
        <v>175</v>
      </c>
    </row>
    <row r="140" spans="1:1" x14ac:dyDescent="0.25">
      <c r="A140" s="10" t="s">
        <v>144</v>
      </c>
    </row>
    <row r="141" spans="1:1" x14ac:dyDescent="0.25">
      <c r="A141" s="10" t="s">
        <v>145</v>
      </c>
    </row>
    <row r="142" spans="1:1" x14ac:dyDescent="0.25">
      <c r="A142" s="10"/>
    </row>
    <row r="143" spans="1:1" x14ac:dyDescent="0.25">
      <c r="A143" s="10" t="s">
        <v>176</v>
      </c>
    </row>
    <row r="144" spans="1:1" x14ac:dyDescent="0.25">
      <c r="A144" s="10" t="s">
        <v>177</v>
      </c>
    </row>
    <row r="145" spans="1:1" x14ac:dyDescent="0.25">
      <c r="A145" s="10"/>
    </row>
    <row r="146" spans="1:1" x14ac:dyDescent="0.25">
      <c r="A146" s="10" t="s">
        <v>178</v>
      </c>
    </row>
    <row r="147" spans="1:1" x14ac:dyDescent="0.25">
      <c r="A147" s="10" t="s">
        <v>149</v>
      </c>
    </row>
    <row r="148" spans="1:1" x14ac:dyDescent="0.25">
      <c r="A148" s="10" t="s">
        <v>150</v>
      </c>
    </row>
    <row r="149" spans="1:1" x14ac:dyDescent="0.25">
      <c r="A149" s="10" t="s">
        <v>179</v>
      </c>
    </row>
    <row r="150" spans="1:1" x14ac:dyDescent="0.25">
      <c r="A150" s="10" t="s">
        <v>180</v>
      </c>
    </row>
    <row r="151" spans="1:1" x14ac:dyDescent="0.25">
      <c r="A151" s="10" t="s">
        <v>181</v>
      </c>
    </row>
    <row r="152" spans="1:1" x14ac:dyDescent="0.25">
      <c r="A152" s="10" t="s">
        <v>182</v>
      </c>
    </row>
    <row r="153" spans="1:1" x14ac:dyDescent="0.25">
      <c r="A153" s="10" t="s">
        <v>159</v>
      </c>
    </row>
    <row r="154" spans="1:1" x14ac:dyDescent="0.25">
      <c r="A154" s="10" t="s">
        <v>183</v>
      </c>
    </row>
    <row r="155" spans="1:1" x14ac:dyDescent="0.25">
      <c r="A155" s="10" t="s">
        <v>184</v>
      </c>
    </row>
    <row r="156" spans="1:1" x14ac:dyDescent="0.25">
      <c r="A156" s="10" t="s">
        <v>185</v>
      </c>
    </row>
    <row r="157" spans="1:1" x14ac:dyDescent="0.25">
      <c r="A157" s="10" t="s">
        <v>163</v>
      </c>
    </row>
    <row r="158" spans="1:1" x14ac:dyDescent="0.25">
      <c r="A158" s="10" t="s">
        <v>186</v>
      </c>
    </row>
    <row r="159" spans="1:1" x14ac:dyDescent="0.25">
      <c r="A159" s="10" t="s">
        <v>187</v>
      </c>
    </row>
    <row r="160" spans="1:1" x14ac:dyDescent="0.25">
      <c r="A160" s="10" t="s">
        <v>188</v>
      </c>
    </row>
    <row r="161" spans="1:1" x14ac:dyDescent="0.25">
      <c r="A161" s="10" t="s">
        <v>189</v>
      </c>
    </row>
    <row r="162" spans="1:1" x14ac:dyDescent="0.25">
      <c r="A162" s="10" t="s">
        <v>168</v>
      </c>
    </row>
    <row r="163" spans="1:1" x14ac:dyDescent="0.25">
      <c r="A163" s="10" t="s">
        <v>169</v>
      </c>
    </row>
    <row r="164" spans="1:1" x14ac:dyDescent="0.25">
      <c r="A164" s="10"/>
    </row>
    <row r="165" spans="1:1" x14ac:dyDescent="0.25">
      <c r="A165" s="10" t="s">
        <v>190</v>
      </c>
    </row>
    <row r="166" spans="1:1" x14ac:dyDescent="0.25">
      <c r="A166" s="10" t="s">
        <v>191</v>
      </c>
    </row>
    <row r="167" spans="1:1" x14ac:dyDescent="0.25">
      <c r="A167" s="10"/>
    </row>
    <row r="168" spans="1:1" x14ac:dyDescent="0.25">
      <c r="A168" s="10" t="s">
        <v>192</v>
      </c>
    </row>
    <row r="169" spans="1:1" x14ac:dyDescent="0.25">
      <c r="A169" s="10" t="s">
        <v>193</v>
      </c>
    </row>
    <row r="170" spans="1:1" x14ac:dyDescent="0.25">
      <c r="A170" s="10" t="s">
        <v>194</v>
      </c>
    </row>
    <row r="171" spans="1:1" x14ac:dyDescent="0.25">
      <c r="A171" s="10"/>
    </row>
    <row r="172" spans="1:1" x14ac:dyDescent="0.25">
      <c r="A172" s="10" t="s">
        <v>195</v>
      </c>
    </row>
    <row r="173" spans="1:1" x14ac:dyDescent="0.25">
      <c r="A173" s="10"/>
    </row>
    <row r="174" spans="1:1" x14ac:dyDescent="0.25">
      <c r="A174" s="10" t="s">
        <v>196</v>
      </c>
    </row>
    <row r="175" spans="1:1" x14ac:dyDescent="0.25">
      <c r="A175" s="10"/>
    </row>
    <row r="176" spans="1:1" x14ac:dyDescent="0.25">
      <c r="A176" s="10" t="s">
        <v>197</v>
      </c>
    </row>
    <row r="177" spans="1:1" x14ac:dyDescent="0.25">
      <c r="A177" s="10"/>
    </row>
    <row r="178" spans="1:1" x14ac:dyDescent="0.25">
      <c r="A178" s="10" t="s">
        <v>198</v>
      </c>
    </row>
    <row r="179" spans="1:1" x14ac:dyDescent="0.25">
      <c r="A179" s="10"/>
    </row>
    <row r="180" spans="1:1" x14ac:dyDescent="0.25">
      <c r="A180" s="10" t="s">
        <v>82</v>
      </c>
    </row>
    <row r="181" spans="1:1" x14ac:dyDescent="0.25">
      <c r="A181" s="10"/>
    </row>
    <row r="182" spans="1:1" x14ac:dyDescent="0.25">
      <c r="A182" s="26" t="s">
        <v>211</v>
      </c>
    </row>
    <row r="183" spans="1:1" x14ac:dyDescent="0.25">
      <c r="A183" s="10"/>
    </row>
    <row r="184" spans="1:1" x14ac:dyDescent="0.25">
      <c r="A184" s="10" t="s">
        <v>212</v>
      </c>
    </row>
    <row r="185" spans="1:1" x14ac:dyDescent="0.25">
      <c r="A185" s="10" t="s">
        <v>213</v>
      </c>
    </row>
    <row r="186" spans="1:1" x14ac:dyDescent="0.25">
      <c r="A186" s="10" t="s">
        <v>214</v>
      </c>
    </row>
    <row r="187" spans="1:1" x14ac:dyDescent="0.25">
      <c r="A187" s="10" t="s">
        <v>215</v>
      </c>
    </row>
    <row r="188" spans="1:1" x14ac:dyDescent="0.25">
      <c r="A188" s="10"/>
    </row>
    <row r="189" spans="1:1" x14ac:dyDescent="0.25">
      <c r="A189" s="10" t="s">
        <v>127</v>
      </c>
    </row>
    <row r="190" spans="1:1" x14ac:dyDescent="0.25">
      <c r="A190" s="10"/>
    </row>
    <row r="191" spans="1:1" x14ac:dyDescent="0.25">
      <c r="A191" s="10" t="s">
        <v>216</v>
      </c>
    </row>
    <row r="192" spans="1:1" x14ac:dyDescent="0.25">
      <c r="A192" s="10" t="s">
        <v>217</v>
      </c>
    </row>
    <row r="193" spans="1:1" x14ac:dyDescent="0.25">
      <c r="A193" s="10"/>
    </row>
    <row r="194" spans="1:1" x14ac:dyDescent="0.25">
      <c r="A194" s="10" t="s">
        <v>218</v>
      </c>
    </row>
    <row r="195" spans="1:1" x14ac:dyDescent="0.25">
      <c r="A195" s="10" t="s">
        <v>219</v>
      </c>
    </row>
    <row r="196" spans="1:1" x14ac:dyDescent="0.25">
      <c r="A196" s="10" t="s">
        <v>220</v>
      </c>
    </row>
    <row r="197" spans="1:1" x14ac:dyDescent="0.25">
      <c r="A197" s="10"/>
    </row>
    <row r="198" spans="1:1" x14ac:dyDescent="0.25">
      <c r="A198" s="10" t="s">
        <v>221</v>
      </c>
    </row>
    <row r="199" spans="1:1" x14ac:dyDescent="0.25">
      <c r="A199" s="10" t="s">
        <v>222</v>
      </c>
    </row>
    <row r="200" spans="1:1" x14ac:dyDescent="0.25">
      <c r="A200" s="10"/>
    </row>
    <row r="201" spans="1:1" x14ac:dyDescent="0.25">
      <c r="A201" s="10" t="s">
        <v>146</v>
      </c>
    </row>
    <row r="202" spans="1:1" x14ac:dyDescent="0.25">
      <c r="A202" s="10" t="s">
        <v>7</v>
      </c>
    </row>
    <row r="203" spans="1:1" x14ac:dyDescent="0.25">
      <c r="A203" s="10" t="s">
        <v>223</v>
      </c>
    </row>
    <row r="204" spans="1:1" x14ac:dyDescent="0.25">
      <c r="A204" s="10" t="s">
        <v>224</v>
      </c>
    </row>
    <row r="205" spans="1:1" x14ac:dyDescent="0.25">
      <c r="A205" s="10" t="s">
        <v>225</v>
      </c>
    </row>
    <row r="206" spans="1:1" x14ac:dyDescent="0.25">
      <c r="A206" s="10" t="s">
        <v>226</v>
      </c>
    </row>
    <row r="207" spans="1:1" x14ac:dyDescent="0.25">
      <c r="A207" s="10" t="s">
        <v>159</v>
      </c>
    </row>
    <row r="208" spans="1:1" x14ac:dyDescent="0.25">
      <c r="A208" s="10" t="s">
        <v>227</v>
      </c>
    </row>
    <row r="209" spans="1:1" x14ac:dyDescent="0.25">
      <c r="A209" s="10" t="s">
        <v>228</v>
      </c>
    </row>
    <row r="210" spans="1:1" x14ac:dyDescent="0.25">
      <c r="A210" s="10" t="s">
        <v>229</v>
      </c>
    </row>
    <row r="211" spans="1:1" x14ac:dyDescent="0.25">
      <c r="A211" s="10" t="s">
        <v>230</v>
      </c>
    </row>
    <row r="212" spans="1:1" x14ac:dyDescent="0.25">
      <c r="A212" s="10" t="s">
        <v>231</v>
      </c>
    </row>
    <row r="213" spans="1:1" x14ac:dyDescent="0.25">
      <c r="A213" s="10" t="s">
        <v>232</v>
      </c>
    </row>
    <row r="214" spans="1:1" x14ac:dyDescent="0.25">
      <c r="A214" s="10" t="s">
        <v>233</v>
      </c>
    </row>
    <row r="215" spans="1:1" x14ac:dyDescent="0.25">
      <c r="A215" s="10" t="s">
        <v>234</v>
      </c>
    </row>
    <row r="216" spans="1:1" x14ac:dyDescent="0.25">
      <c r="A216" s="10" t="s">
        <v>235</v>
      </c>
    </row>
    <row r="217" spans="1:1" x14ac:dyDescent="0.25">
      <c r="A217" s="10" t="s">
        <v>163</v>
      </c>
    </row>
    <row r="218" spans="1:1" x14ac:dyDescent="0.25">
      <c r="A218" s="10" t="s">
        <v>169</v>
      </c>
    </row>
    <row r="219" spans="1:1" x14ac:dyDescent="0.25">
      <c r="A219" s="10"/>
    </row>
    <row r="220" spans="1:1" x14ac:dyDescent="0.25">
      <c r="A220" s="10" t="s">
        <v>236</v>
      </c>
    </row>
    <row r="221" spans="1:1" x14ac:dyDescent="0.25">
      <c r="A221" s="10"/>
    </row>
    <row r="222" spans="1:1" x14ac:dyDescent="0.25">
      <c r="A222" s="10" t="s">
        <v>146</v>
      </c>
    </row>
    <row r="223" spans="1:1" x14ac:dyDescent="0.25">
      <c r="A223" s="10"/>
    </row>
    <row r="224" spans="1:1" x14ac:dyDescent="0.25">
      <c r="A224" s="10" t="s">
        <v>223</v>
      </c>
    </row>
    <row r="225" spans="1:1" x14ac:dyDescent="0.25">
      <c r="A225" s="10" t="s">
        <v>237</v>
      </c>
    </row>
    <row r="226" spans="1:1" x14ac:dyDescent="0.25">
      <c r="A226" s="10" t="s">
        <v>226</v>
      </c>
    </row>
    <row r="227" spans="1:1" x14ac:dyDescent="0.25">
      <c r="A227" s="10" t="s">
        <v>232</v>
      </c>
    </row>
    <row r="228" spans="1:1" x14ac:dyDescent="0.25">
      <c r="A228" s="10" t="s">
        <v>238</v>
      </c>
    </row>
    <row r="229" spans="1:1" x14ac:dyDescent="0.25">
      <c r="A229" s="10" t="s">
        <v>239</v>
      </c>
    </row>
    <row r="230" spans="1:1" x14ac:dyDescent="0.25">
      <c r="A230" s="10" t="s">
        <v>163</v>
      </c>
    </row>
    <row r="231" spans="1:1" x14ac:dyDescent="0.25">
      <c r="A231" s="10" t="s">
        <v>169</v>
      </c>
    </row>
    <row r="232" spans="1:1" x14ac:dyDescent="0.25">
      <c r="A232" s="10"/>
    </row>
    <row r="233" spans="1:1" x14ac:dyDescent="0.25">
      <c r="A233" s="10" t="s">
        <v>240</v>
      </c>
    </row>
    <row r="234" spans="1:1" x14ac:dyDescent="0.25">
      <c r="A234" s="10" t="s">
        <v>241</v>
      </c>
    </row>
    <row r="235" spans="1:1" x14ac:dyDescent="0.25">
      <c r="A235" s="10" t="s">
        <v>242</v>
      </c>
    </row>
    <row r="236" spans="1:1" x14ac:dyDescent="0.25">
      <c r="A236" s="10" t="s">
        <v>243</v>
      </c>
    </row>
    <row r="237" spans="1:1" x14ac:dyDescent="0.25">
      <c r="A237" s="10" t="s">
        <v>244</v>
      </c>
    </row>
    <row r="238" spans="1:1" x14ac:dyDescent="0.25">
      <c r="A238" s="10"/>
    </row>
    <row r="239" spans="1:1" x14ac:dyDescent="0.25">
      <c r="A239" s="10" t="s">
        <v>245</v>
      </c>
    </row>
    <row r="240" spans="1:1" x14ac:dyDescent="0.25">
      <c r="A240" s="10" t="s">
        <v>246</v>
      </c>
    </row>
    <row r="241" spans="1:1" x14ac:dyDescent="0.25">
      <c r="A241" s="10" t="s">
        <v>247</v>
      </c>
    </row>
    <row r="242" spans="1:1" x14ac:dyDescent="0.25">
      <c r="A242" s="10" t="s">
        <v>248</v>
      </c>
    </row>
    <row r="243" spans="1:1" x14ac:dyDescent="0.25">
      <c r="A243" s="10" t="s">
        <v>249</v>
      </c>
    </row>
    <row r="244" spans="1:1" x14ac:dyDescent="0.25">
      <c r="A244" s="10" t="s">
        <v>250</v>
      </c>
    </row>
    <row r="245" spans="1:1" x14ac:dyDescent="0.25">
      <c r="A245" s="10"/>
    </row>
    <row r="246" spans="1:1" x14ac:dyDescent="0.25">
      <c r="A246" s="10" t="s">
        <v>146</v>
      </c>
    </row>
    <row r="247" spans="1:1" x14ac:dyDescent="0.25">
      <c r="A247" s="10" t="s">
        <v>147</v>
      </c>
    </row>
    <row r="248" spans="1:1" x14ac:dyDescent="0.25">
      <c r="A248" s="10" t="s">
        <v>177</v>
      </c>
    </row>
    <row r="249" spans="1:1" x14ac:dyDescent="0.25">
      <c r="A249" s="10"/>
    </row>
    <row r="250" spans="1:1" x14ac:dyDescent="0.25">
      <c r="A250" s="10" t="s">
        <v>251</v>
      </c>
    </row>
    <row r="251" spans="1:1" x14ac:dyDescent="0.25">
      <c r="A251" s="10" t="s">
        <v>252</v>
      </c>
    </row>
    <row r="252" spans="1:1" x14ac:dyDescent="0.25">
      <c r="A252" s="10" t="s">
        <v>253</v>
      </c>
    </row>
    <row r="253" spans="1:1" x14ac:dyDescent="0.25">
      <c r="A253" s="10" t="s">
        <v>254</v>
      </c>
    </row>
    <row r="254" spans="1:1" x14ac:dyDescent="0.25">
      <c r="A254" s="10" t="s">
        <v>255</v>
      </c>
    </row>
    <row r="255" spans="1:1" x14ac:dyDescent="0.25">
      <c r="A255" s="10" t="s">
        <v>152</v>
      </c>
    </row>
    <row r="256" spans="1:1" x14ac:dyDescent="0.25">
      <c r="A256" s="10" t="s">
        <v>256</v>
      </c>
    </row>
    <row r="257" spans="1:1" x14ac:dyDescent="0.25">
      <c r="A257" s="10" t="s">
        <v>257</v>
      </c>
    </row>
    <row r="258" spans="1:1" x14ac:dyDescent="0.25">
      <c r="A258" s="10" t="s">
        <v>258</v>
      </c>
    </row>
    <row r="259" spans="1:1" x14ac:dyDescent="0.25">
      <c r="A259" s="10" t="s">
        <v>156</v>
      </c>
    </row>
    <row r="260" spans="1:1" x14ac:dyDescent="0.25">
      <c r="A260" s="10" t="s">
        <v>259</v>
      </c>
    </row>
    <row r="261" spans="1:1" x14ac:dyDescent="0.25">
      <c r="A261" s="10" t="s">
        <v>260</v>
      </c>
    </row>
    <row r="262" spans="1:1" x14ac:dyDescent="0.25">
      <c r="A262" s="10" t="s">
        <v>159</v>
      </c>
    </row>
    <row r="263" spans="1:1" x14ac:dyDescent="0.25">
      <c r="A263" s="10" t="s">
        <v>160</v>
      </c>
    </row>
    <row r="264" spans="1:1" x14ac:dyDescent="0.25">
      <c r="A264" s="10" t="s">
        <v>261</v>
      </c>
    </row>
    <row r="265" spans="1:1" x14ac:dyDescent="0.25">
      <c r="A265" s="10" t="s">
        <v>262</v>
      </c>
    </row>
    <row r="266" spans="1:1" x14ac:dyDescent="0.25">
      <c r="A266" s="10" t="s">
        <v>231</v>
      </c>
    </row>
    <row r="267" spans="1:1" x14ac:dyDescent="0.25">
      <c r="A267" s="10" t="s">
        <v>263</v>
      </c>
    </row>
    <row r="268" spans="1:1" x14ac:dyDescent="0.25">
      <c r="A268" s="10" t="s">
        <v>264</v>
      </c>
    </row>
    <row r="269" spans="1:1" x14ac:dyDescent="0.25">
      <c r="A269" s="10" t="s">
        <v>265</v>
      </c>
    </row>
    <row r="270" spans="1:1" x14ac:dyDescent="0.25">
      <c r="A270" s="10" t="s">
        <v>266</v>
      </c>
    </row>
    <row r="271" spans="1:1" x14ac:dyDescent="0.25">
      <c r="A271" s="10" t="s">
        <v>267</v>
      </c>
    </row>
    <row r="272" spans="1:1" x14ac:dyDescent="0.25">
      <c r="A272" s="10" t="s">
        <v>268</v>
      </c>
    </row>
    <row r="273" spans="1:1" x14ac:dyDescent="0.25">
      <c r="A273" s="10" t="s">
        <v>269</v>
      </c>
    </row>
    <row r="274" spans="1:1" x14ac:dyDescent="0.25">
      <c r="A274" s="10" t="s">
        <v>270</v>
      </c>
    </row>
    <row r="275" spans="1:1" x14ac:dyDescent="0.25">
      <c r="A275" s="10" t="s">
        <v>271</v>
      </c>
    </row>
    <row r="276" spans="1:1" x14ac:dyDescent="0.25">
      <c r="A276" s="11" t="s">
        <v>272</v>
      </c>
    </row>
    <row r="277" spans="1:1" x14ac:dyDescent="0.25">
      <c r="A277" s="10" t="s">
        <v>62</v>
      </c>
    </row>
    <row r="278" spans="1:1" x14ac:dyDescent="0.25">
      <c r="A278" s="10" t="s">
        <v>273</v>
      </c>
    </row>
    <row r="279" spans="1:1" x14ac:dyDescent="0.25">
      <c r="A279" s="10" t="s">
        <v>274</v>
      </c>
    </row>
    <row r="280" spans="1:1" x14ac:dyDescent="0.25">
      <c r="A280" s="10" t="s">
        <v>275</v>
      </c>
    </row>
    <row r="281" spans="1:1" x14ac:dyDescent="0.25">
      <c r="A281" s="10" t="s">
        <v>253</v>
      </c>
    </row>
    <row r="282" spans="1:1" x14ac:dyDescent="0.25">
      <c r="A282" s="10" t="s">
        <v>254</v>
      </c>
    </row>
    <row r="283" spans="1:1" x14ac:dyDescent="0.25">
      <c r="A283" s="10" t="s">
        <v>276</v>
      </c>
    </row>
    <row r="284" spans="1:1" x14ac:dyDescent="0.25">
      <c r="A284" s="10" t="s">
        <v>277</v>
      </c>
    </row>
    <row r="285" spans="1:1" x14ac:dyDescent="0.25">
      <c r="A285" s="10" t="s">
        <v>278</v>
      </c>
    </row>
    <row r="286" spans="1:1" x14ac:dyDescent="0.25">
      <c r="A286" s="10" t="s">
        <v>279</v>
      </c>
    </row>
    <row r="287" spans="1:1" x14ac:dyDescent="0.25">
      <c r="A287" s="10" t="s">
        <v>280</v>
      </c>
    </row>
    <row r="288" spans="1:1" x14ac:dyDescent="0.25">
      <c r="A288" s="10" t="s">
        <v>281</v>
      </c>
    </row>
    <row r="289" spans="1:1" x14ac:dyDescent="0.25">
      <c r="A289" s="10" t="s">
        <v>282</v>
      </c>
    </row>
    <row r="290" spans="1:1" x14ac:dyDescent="0.25">
      <c r="A290" s="10" t="s">
        <v>283</v>
      </c>
    </row>
    <row r="291" spans="1:1" x14ac:dyDescent="0.25">
      <c r="A291" s="10" t="s">
        <v>284</v>
      </c>
    </row>
    <row r="292" spans="1:1" x14ac:dyDescent="0.25">
      <c r="A292" s="10" t="s">
        <v>285</v>
      </c>
    </row>
    <row r="293" spans="1:1" x14ac:dyDescent="0.25">
      <c r="A293" s="10" t="s">
        <v>286</v>
      </c>
    </row>
    <row r="294" spans="1:1" x14ac:dyDescent="0.25">
      <c r="A294" s="10" t="s">
        <v>287</v>
      </c>
    </row>
    <row r="295" spans="1:1" x14ac:dyDescent="0.25">
      <c r="A295" s="10" t="s">
        <v>288</v>
      </c>
    </row>
    <row r="296" spans="1:1" x14ac:dyDescent="0.25">
      <c r="A296" s="10" t="s">
        <v>289</v>
      </c>
    </row>
    <row r="297" spans="1:1" x14ac:dyDescent="0.25">
      <c r="A297" s="10" t="s">
        <v>290</v>
      </c>
    </row>
    <row r="298" spans="1:1" x14ac:dyDescent="0.25">
      <c r="A298" s="10" t="s">
        <v>291</v>
      </c>
    </row>
    <row r="299" spans="1:1" x14ac:dyDescent="0.25">
      <c r="A299" s="10" t="s">
        <v>292</v>
      </c>
    </row>
    <row r="300" spans="1:1" x14ac:dyDescent="0.25">
      <c r="A300" s="10" t="s">
        <v>226</v>
      </c>
    </row>
    <row r="301" spans="1:1" x14ac:dyDescent="0.25">
      <c r="A301" s="10" t="s">
        <v>268</v>
      </c>
    </row>
    <row r="302" spans="1:1" x14ac:dyDescent="0.25">
      <c r="A302" s="10" t="s">
        <v>269</v>
      </c>
    </row>
    <row r="303" spans="1:1" x14ac:dyDescent="0.25">
      <c r="A303" s="10" t="s">
        <v>270</v>
      </c>
    </row>
    <row r="304" spans="1:1" x14ac:dyDescent="0.25">
      <c r="A304" s="10" t="s">
        <v>273</v>
      </c>
    </row>
    <row r="305" spans="1:1" x14ac:dyDescent="0.25">
      <c r="A305" s="10" t="s">
        <v>293</v>
      </c>
    </row>
    <row r="306" spans="1:1" x14ac:dyDescent="0.25">
      <c r="A306" s="10" t="s">
        <v>294</v>
      </c>
    </row>
    <row r="307" spans="1:1" x14ac:dyDescent="0.25">
      <c r="A307" s="10" t="s">
        <v>295</v>
      </c>
    </row>
    <row r="308" spans="1:1" x14ac:dyDescent="0.25">
      <c r="A308" s="10" t="s">
        <v>273</v>
      </c>
    </row>
    <row r="309" spans="1:1" x14ac:dyDescent="0.25">
      <c r="A309" s="10" t="s">
        <v>296</v>
      </c>
    </row>
    <row r="310" spans="1:1" x14ac:dyDescent="0.25">
      <c r="A310" s="10" t="s">
        <v>273</v>
      </c>
    </row>
    <row r="311" spans="1:1" x14ac:dyDescent="0.25">
      <c r="A311" s="10" t="s">
        <v>252</v>
      </c>
    </row>
    <row r="312" spans="1:1" x14ac:dyDescent="0.25">
      <c r="A312" s="10" t="s">
        <v>253</v>
      </c>
    </row>
    <row r="313" spans="1:1" x14ac:dyDescent="0.25">
      <c r="A313" s="10" t="s">
        <v>254</v>
      </c>
    </row>
    <row r="314" spans="1:1" x14ac:dyDescent="0.25">
      <c r="A314" s="10" t="s">
        <v>297</v>
      </c>
    </row>
    <row r="315" spans="1:1" x14ac:dyDescent="0.25">
      <c r="A315" s="10" t="s">
        <v>298</v>
      </c>
    </row>
    <row r="316" spans="1:1" x14ac:dyDescent="0.25">
      <c r="A316" s="10" t="s">
        <v>299</v>
      </c>
    </row>
    <row r="317" spans="1:1" x14ac:dyDescent="0.25">
      <c r="A317" s="10" t="s">
        <v>300</v>
      </c>
    </row>
    <row r="318" spans="1:1" x14ac:dyDescent="0.25">
      <c r="A318" s="10" t="s">
        <v>284</v>
      </c>
    </row>
    <row r="319" spans="1:1" x14ac:dyDescent="0.25">
      <c r="A319" s="10" t="s">
        <v>301</v>
      </c>
    </row>
    <row r="320" spans="1:1" x14ac:dyDescent="0.25">
      <c r="A320" s="10" t="s">
        <v>302</v>
      </c>
    </row>
    <row r="321" spans="1:1" x14ac:dyDescent="0.25">
      <c r="A321" s="10" t="s">
        <v>303</v>
      </c>
    </row>
    <row r="322" spans="1:1" x14ac:dyDescent="0.25">
      <c r="A322" s="10" t="s">
        <v>231</v>
      </c>
    </row>
    <row r="323" spans="1:1" x14ac:dyDescent="0.25">
      <c r="A323" s="10" t="s">
        <v>304</v>
      </c>
    </row>
    <row r="324" spans="1:1" x14ac:dyDescent="0.25">
      <c r="A324" s="10" t="s">
        <v>305</v>
      </c>
    </row>
    <row r="325" spans="1:1" x14ac:dyDescent="0.25">
      <c r="A325" s="10" t="s">
        <v>306</v>
      </c>
    </row>
    <row r="326" spans="1:1" x14ac:dyDescent="0.25">
      <c r="A326" s="10" t="s">
        <v>307</v>
      </c>
    </row>
    <row r="327" spans="1:1" x14ac:dyDescent="0.25">
      <c r="A327" s="10" t="s">
        <v>267</v>
      </c>
    </row>
    <row r="328" spans="1:1" x14ac:dyDescent="0.25">
      <c r="A328" s="10" t="s">
        <v>268</v>
      </c>
    </row>
    <row r="329" spans="1:1" x14ac:dyDescent="0.25">
      <c r="A329" s="10" t="s">
        <v>308</v>
      </c>
    </row>
    <row r="330" spans="1:1" x14ac:dyDescent="0.25">
      <c r="A330" s="10" t="s">
        <v>309</v>
      </c>
    </row>
    <row r="331" spans="1:1" x14ac:dyDescent="0.25">
      <c r="A331" s="10" t="s">
        <v>310</v>
      </c>
    </row>
    <row r="332" spans="1:1" x14ac:dyDescent="0.25">
      <c r="A332" s="10" t="s">
        <v>311</v>
      </c>
    </row>
    <row r="333" spans="1:1" x14ac:dyDescent="0.25">
      <c r="A333" s="10" t="s">
        <v>312</v>
      </c>
    </row>
    <row r="334" spans="1:1" x14ac:dyDescent="0.25">
      <c r="A334" s="10" t="s">
        <v>62</v>
      </c>
    </row>
    <row r="335" spans="1:1" x14ac:dyDescent="0.25">
      <c r="A335" s="10"/>
    </row>
    <row r="336" spans="1:1" x14ac:dyDescent="0.25">
      <c r="A336" s="10" t="s">
        <v>313</v>
      </c>
    </row>
    <row r="337" spans="1:1" x14ac:dyDescent="0.25">
      <c r="A337" s="10"/>
    </row>
    <row r="338" spans="1:1" x14ac:dyDescent="0.25">
      <c r="A338" s="10" t="s">
        <v>82</v>
      </c>
    </row>
    <row r="339" spans="1:1" x14ac:dyDescent="0.25">
      <c r="A339" s="10"/>
    </row>
    <row r="340" spans="1:1" x14ac:dyDescent="0.25">
      <c r="A340" s="10"/>
    </row>
    <row r="341" spans="1:1" x14ac:dyDescent="0.25">
      <c r="A341" s="10"/>
    </row>
    <row r="342" spans="1:1" x14ac:dyDescent="0.25">
      <c r="A342" s="10"/>
    </row>
    <row r="343" spans="1:1" x14ac:dyDescent="0.25">
      <c r="A343" s="10"/>
    </row>
    <row r="344" spans="1:1" x14ac:dyDescent="0.25">
      <c r="A344" s="10"/>
    </row>
    <row r="345" spans="1:1" x14ac:dyDescent="0.25">
      <c r="A345" s="10"/>
    </row>
    <row r="346" spans="1:1" x14ac:dyDescent="0.25">
      <c r="A346" s="10"/>
    </row>
    <row r="347" spans="1:1" x14ac:dyDescent="0.25">
      <c r="A347" s="10"/>
    </row>
    <row r="348" spans="1:1" x14ac:dyDescent="0.25">
      <c r="A348" s="10"/>
    </row>
    <row r="349" spans="1:1" x14ac:dyDescent="0.25">
      <c r="A349" s="10"/>
    </row>
    <row r="350" spans="1:1" x14ac:dyDescent="0.25">
      <c r="A350" s="10"/>
    </row>
    <row r="351" spans="1:1" x14ac:dyDescent="0.25">
      <c r="A351" s="10"/>
    </row>
    <row r="352" spans="1:1" x14ac:dyDescent="0.25">
      <c r="A352" s="10"/>
    </row>
    <row r="353" spans="1:1" x14ac:dyDescent="0.25">
      <c r="A353" s="10"/>
    </row>
    <row r="354" spans="1:1" x14ac:dyDescent="0.25">
      <c r="A354" s="10"/>
    </row>
    <row r="355" spans="1:1" x14ac:dyDescent="0.25">
      <c r="A355" s="10"/>
    </row>
    <row r="356" spans="1:1" x14ac:dyDescent="0.25">
      <c r="A356" s="10"/>
    </row>
    <row r="357" spans="1:1" x14ac:dyDescent="0.25">
      <c r="A357" s="10"/>
    </row>
    <row r="358" spans="1:1" x14ac:dyDescent="0.25">
      <c r="A358" s="10"/>
    </row>
    <row r="359" spans="1:1" x14ac:dyDescent="0.25">
      <c r="A359" s="10"/>
    </row>
    <row r="360" spans="1:1" x14ac:dyDescent="0.25">
      <c r="A360" s="10"/>
    </row>
    <row r="361" spans="1:1" x14ac:dyDescent="0.25">
      <c r="A361" s="10"/>
    </row>
    <row r="362" spans="1:1" x14ac:dyDescent="0.25">
      <c r="A362" s="10"/>
    </row>
    <row r="363" spans="1:1" x14ac:dyDescent="0.25">
      <c r="A363" s="10"/>
    </row>
    <row r="364" spans="1:1" x14ac:dyDescent="0.25">
      <c r="A364" s="11"/>
    </row>
    <row r="365" spans="1:1" x14ac:dyDescent="0.25">
      <c r="A365" s="10"/>
    </row>
    <row r="366" spans="1:1" x14ac:dyDescent="0.25">
      <c r="A366" s="10"/>
    </row>
    <row r="367" spans="1:1" x14ac:dyDescent="0.25">
      <c r="A367" s="10"/>
    </row>
    <row r="368" spans="1:1" x14ac:dyDescent="0.25">
      <c r="A368" s="10"/>
    </row>
    <row r="369" spans="1:1" x14ac:dyDescent="0.25">
      <c r="A369" s="10"/>
    </row>
    <row r="370" spans="1:1" x14ac:dyDescent="0.25">
      <c r="A370" s="10"/>
    </row>
    <row r="371" spans="1:1" x14ac:dyDescent="0.25">
      <c r="A371" s="10"/>
    </row>
    <row r="372" spans="1:1" x14ac:dyDescent="0.25">
      <c r="A372" s="10"/>
    </row>
    <row r="373" spans="1:1" x14ac:dyDescent="0.25">
      <c r="A373" s="10"/>
    </row>
    <row r="374" spans="1:1" x14ac:dyDescent="0.25">
      <c r="A374" s="10"/>
    </row>
    <row r="375" spans="1:1" x14ac:dyDescent="0.25">
      <c r="A375" s="10"/>
    </row>
    <row r="376" spans="1:1" x14ac:dyDescent="0.25">
      <c r="A376" s="10"/>
    </row>
    <row r="377" spans="1:1" x14ac:dyDescent="0.25">
      <c r="A377" s="10"/>
    </row>
    <row r="378" spans="1:1" x14ac:dyDescent="0.25">
      <c r="A378" s="10"/>
    </row>
    <row r="379" spans="1:1" x14ac:dyDescent="0.25">
      <c r="A379" s="10"/>
    </row>
    <row r="380" spans="1:1" x14ac:dyDescent="0.25">
      <c r="A380" s="10"/>
    </row>
    <row r="381" spans="1:1" x14ac:dyDescent="0.25">
      <c r="A381" s="10"/>
    </row>
    <row r="382" spans="1:1" x14ac:dyDescent="0.25">
      <c r="A382" s="10"/>
    </row>
    <row r="383" spans="1:1" x14ac:dyDescent="0.25">
      <c r="A383" s="10"/>
    </row>
    <row r="384" spans="1:1" x14ac:dyDescent="0.25">
      <c r="A384" s="10"/>
    </row>
    <row r="385" spans="1:1" x14ac:dyDescent="0.25">
      <c r="A385" s="10"/>
    </row>
    <row r="386" spans="1:1" x14ac:dyDescent="0.25">
      <c r="A386" s="10"/>
    </row>
    <row r="387" spans="1:1" x14ac:dyDescent="0.25">
      <c r="A387" s="10"/>
    </row>
    <row r="388" spans="1:1" x14ac:dyDescent="0.25">
      <c r="A388" s="10"/>
    </row>
    <row r="389" spans="1:1" x14ac:dyDescent="0.25">
      <c r="A389" s="10"/>
    </row>
    <row r="390" spans="1:1" x14ac:dyDescent="0.25">
      <c r="A390" s="10"/>
    </row>
    <row r="391" spans="1:1" x14ac:dyDescent="0.25">
      <c r="A391" s="10"/>
    </row>
    <row r="392" spans="1:1" x14ac:dyDescent="0.25">
      <c r="A392" s="10"/>
    </row>
    <row r="393" spans="1:1" x14ac:dyDescent="0.25">
      <c r="A393" s="10"/>
    </row>
    <row r="394" spans="1:1" x14ac:dyDescent="0.25">
      <c r="A394" s="10"/>
    </row>
    <row r="395" spans="1:1" x14ac:dyDescent="0.25">
      <c r="A395" s="10"/>
    </row>
    <row r="396" spans="1:1" x14ac:dyDescent="0.25">
      <c r="A396" s="10"/>
    </row>
    <row r="397" spans="1:1" x14ac:dyDescent="0.25">
      <c r="A397" s="10"/>
    </row>
    <row r="398" spans="1:1" x14ac:dyDescent="0.25">
      <c r="A398" s="10"/>
    </row>
    <row r="399" spans="1:1" x14ac:dyDescent="0.25">
      <c r="A399" s="10"/>
    </row>
    <row r="400" spans="1:1" x14ac:dyDescent="0.25">
      <c r="A400" s="10"/>
    </row>
    <row r="401" spans="1:1" x14ac:dyDescent="0.25">
      <c r="A401" s="10"/>
    </row>
    <row r="402" spans="1:1" x14ac:dyDescent="0.25">
      <c r="A402" s="10"/>
    </row>
    <row r="403" spans="1:1" x14ac:dyDescent="0.25">
      <c r="A403" s="10"/>
    </row>
    <row r="404" spans="1:1" x14ac:dyDescent="0.25">
      <c r="A404" s="10"/>
    </row>
    <row r="405" spans="1:1" x14ac:dyDescent="0.25">
      <c r="A405" s="10"/>
    </row>
    <row r="406" spans="1:1" x14ac:dyDescent="0.25">
      <c r="A406" s="10"/>
    </row>
    <row r="407" spans="1:1" x14ac:dyDescent="0.25">
      <c r="A407" s="10"/>
    </row>
    <row r="408" spans="1:1" x14ac:dyDescent="0.25">
      <c r="A408" s="10"/>
    </row>
    <row r="409" spans="1:1" x14ac:dyDescent="0.25">
      <c r="A409" s="10"/>
    </row>
    <row r="410" spans="1:1" x14ac:dyDescent="0.25">
      <c r="A410" s="10"/>
    </row>
    <row r="411" spans="1:1" x14ac:dyDescent="0.25">
      <c r="A411" s="10"/>
    </row>
    <row r="412" spans="1:1" x14ac:dyDescent="0.25">
      <c r="A412" s="10"/>
    </row>
    <row r="413" spans="1:1" x14ac:dyDescent="0.25">
      <c r="A413" s="10"/>
    </row>
    <row r="414" spans="1:1" x14ac:dyDescent="0.25">
      <c r="A414" s="10"/>
    </row>
    <row r="415" spans="1:1" x14ac:dyDescent="0.25">
      <c r="A415" s="10"/>
    </row>
    <row r="416" spans="1:1" x14ac:dyDescent="0.25">
      <c r="A416" s="10"/>
    </row>
    <row r="417" spans="1:1" x14ac:dyDescent="0.25">
      <c r="A417" s="10"/>
    </row>
    <row r="418" spans="1:1" x14ac:dyDescent="0.25">
      <c r="A418" s="10"/>
    </row>
    <row r="419" spans="1:1" x14ac:dyDescent="0.25">
      <c r="A419" s="10"/>
    </row>
    <row r="420" spans="1:1" x14ac:dyDescent="0.25">
      <c r="A420" s="10"/>
    </row>
    <row r="421" spans="1:1" x14ac:dyDescent="0.25">
      <c r="A421" s="10"/>
    </row>
    <row r="422" spans="1:1" x14ac:dyDescent="0.25">
      <c r="A422" s="10"/>
    </row>
    <row r="423" spans="1:1" x14ac:dyDescent="0.25">
      <c r="A423" s="10"/>
    </row>
    <row r="424" spans="1:1" x14ac:dyDescent="0.25">
      <c r="A424" s="10"/>
    </row>
    <row r="425" spans="1:1" x14ac:dyDescent="0.25">
      <c r="A425" s="10"/>
    </row>
    <row r="426" spans="1:1" x14ac:dyDescent="0.25">
      <c r="A426" s="10"/>
    </row>
    <row r="427" spans="1:1" x14ac:dyDescent="0.25">
      <c r="A427" s="10"/>
    </row>
    <row r="428" spans="1:1" x14ac:dyDescent="0.25">
      <c r="A428" s="10"/>
    </row>
    <row r="429" spans="1:1" x14ac:dyDescent="0.25">
      <c r="A429" s="10"/>
    </row>
    <row r="430" spans="1:1" x14ac:dyDescent="0.25">
      <c r="A430" s="10"/>
    </row>
    <row r="431" spans="1:1" x14ac:dyDescent="0.25">
      <c r="A431" s="10"/>
    </row>
    <row r="432" spans="1:1" x14ac:dyDescent="0.25">
      <c r="A432" s="10"/>
    </row>
    <row r="433" spans="1:1" x14ac:dyDescent="0.25">
      <c r="A433" s="10"/>
    </row>
    <row r="434" spans="1:1" x14ac:dyDescent="0.25">
      <c r="A434" s="10"/>
    </row>
    <row r="435" spans="1:1" x14ac:dyDescent="0.25">
      <c r="A435" s="10"/>
    </row>
    <row r="436" spans="1:1" x14ac:dyDescent="0.25">
      <c r="A436" s="10"/>
    </row>
    <row r="437" spans="1:1" x14ac:dyDescent="0.25">
      <c r="A437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Intro Sheet</vt:lpstr>
      <vt:lpstr>Q4_Quad_Roots</vt:lpstr>
      <vt:lpstr>Q5a_Simp_Rule_Sheet</vt:lpstr>
      <vt:lpstr>Q5b_Simp_Rule_VBA</vt:lpstr>
      <vt:lpstr>Q6_Simp_Rule_UDI</vt:lpstr>
      <vt:lpstr>Macro Dump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Cline</dc:creator>
  <cp:lastModifiedBy>Stefan Cline</cp:lastModifiedBy>
  <dcterms:created xsi:type="dcterms:W3CDTF">2020-09-03T22:31:18Z</dcterms:created>
  <dcterms:modified xsi:type="dcterms:W3CDTF">2020-10-17T23:34:07Z</dcterms:modified>
</cp:coreProperties>
</file>