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fa13b15e939eee1/Documents/School/06_SDSU_Grad_School_Docs/CodeRepository/Coding_Examples/Excel/"/>
    </mc:Choice>
  </mc:AlternateContent>
  <xr:revisionPtr revIDLastSave="93" documentId="8_{251A0375-FFF4-478B-9DB1-3D0FB1A85F8D}" xr6:coauthVersionLast="47" xr6:coauthVersionMax="47" xr10:uidLastSave="{EF0BC0A6-043E-41E1-9B78-BA7D307AEA57}"/>
  <bookViews>
    <workbookView xWindow="28680" yWindow="-120" windowWidth="29040" windowHeight="15720" tabRatio="650" firstSheet="1" activeTab="8" xr2:uid="{40B96900-E2C1-463A-A47F-8E148AFBF490}"/>
  </bookViews>
  <sheets>
    <sheet name="Intro Sheet" sheetId="8" r:id="rId1"/>
    <sheet name="LV3_InputMultSubtrct" sheetId="1" r:id="rId2"/>
    <sheet name="LV7_TrueError" sheetId="2" r:id="rId3"/>
    <sheet name="LV8_TrueRelError" sheetId="3" r:id="rId4"/>
    <sheet name="LV8_AprxError" sheetId="4" r:id="rId5"/>
    <sheet name="LV9_SigFig" sheetId="5" r:id="rId6"/>
    <sheet name="LV10_11_SecxMcL" sheetId="6" r:id="rId7"/>
    <sheet name="LV12_Uncertainty" sheetId="7" r:id="rId8"/>
    <sheet name="LV13_PartDervUncert" sheetId="9" r:id="rId9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6" i="6" l="1"/>
  <c r="O26" i="6"/>
  <c r="O16" i="6"/>
  <c r="P21" i="6"/>
  <c r="M29" i="6" s="1"/>
  <c r="N15" i="6"/>
  <c r="P13" i="6"/>
  <c r="N16" i="6"/>
  <c r="O15" i="6"/>
  <c r="P15" i="6" s="1"/>
  <c r="O14" i="6"/>
  <c r="N14" i="6"/>
  <c r="P14" i="6" s="1"/>
  <c r="N13" i="6"/>
  <c r="P16" i="6" l="1"/>
  <c r="P17" i="6" s="1"/>
  <c r="P19" i="6" s="1"/>
  <c r="N29" i="6" s="1"/>
  <c r="O29" i="6" s="1"/>
  <c r="P26" i="6"/>
</calcChain>
</file>

<file path=xl/sharedStrings.xml><?xml version="1.0" encoding="utf-8"?>
<sst xmlns="http://schemas.openxmlformats.org/spreadsheetml/2006/main" count="64" uniqueCount="58">
  <si>
    <t>Press the button to run a program that will: 
1. Request Two Values from you the user
2. Multiply the two inputted values and output them to the spreadsheet</t>
  </si>
  <si>
    <t>a =</t>
  </si>
  <si>
    <t>b =</t>
  </si>
  <si>
    <t>a * b =</t>
  </si>
  <si>
    <t>a - b =</t>
  </si>
  <si>
    <t>Done using LaTex on MS Word</t>
  </si>
  <si>
    <t>Part a</t>
  </si>
  <si>
    <t>(completed using LaTex in MS Word)</t>
  </si>
  <si>
    <t>Part b</t>
  </si>
  <si>
    <t xml:space="preserve"> </t>
  </si>
  <si>
    <t>a</t>
  </si>
  <si>
    <t>b</t>
  </si>
  <si>
    <t>c</t>
  </si>
  <si>
    <t>d</t>
  </si>
  <si>
    <t>e</t>
  </si>
  <si>
    <t>f</t>
  </si>
  <si>
    <t>g</t>
  </si>
  <si>
    <t>h</t>
  </si>
  <si>
    <t>689.0</t>
  </si>
  <si>
    <t>0.7000</t>
  </si>
  <si>
    <t>.0004000</t>
  </si>
  <si>
    <t>803.004</t>
  </si>
  <si>
    <t>Problem</t>
  </si>
  <si>
    <t>Number</t>
  </si>
  <si>
    <t># of Sig Figs</t>
  </si>
  <si>
    <t>(Done in MS Word using LaTex)</t>
  </si>
  <si>
    <t xml:space="preserve">MacLaurin Series </t>
  </si>
  <si>
    <t xml:space="preserve">Sum: </t>
  </si>
  <si>
    <t xml:space="preserve">x^n </t>
  </si>
  <si>
    <t>Term Value * x^n</t>
  </si>
  <si>
    <t>n (term)</t>
  </si>
  <si>
    <t>f^n(0) / n!</t>
  </si>
  <si>
    <t xml:space="preserve">Approximate Value (sec (20 deg)): </t>
  </si>
  <si>
    <t xml:space="preserve">Actual Value (sec (20 deg)): </t>
  </si>
  <si>
    <t>*note, 20 degrees is π/9 radians which = 0.349066</t>
  </si>
  <si>
    <t>((18*(SEC(0.349066))^3*(TAN(0.349066))^3)+(5*(SEC(0.349066))^5)+((TAN(0.349066))^4*(SEC(0.349066))))/24</t>
  </si>
  <si>
    <t>Exact</t>
  </si>
  <si>
    <t xml:space="preserve">Approx. </t>
  </si>
  <si>
    <t>E_T (Ex-Aprox)</t>
  </si>
  <si>
    <t>As expected, E_T &lt; R_3</t>
  </si>
  <si>
    <t>Note: Code used for 4th derivative of f(x) at (π/9) in cell N26</t>
  </si>
  <si>
    <t>Because a=0, our z value is between 0 and (π/9) 
0 ≤ z ≤ (π/9)
Using the image on the right we can see that the graph of sec (x) is increasing on the interval, therefore the largest z value for sec (x) will be (π/9)</t>
  </si>
  <si>
    <t>Student</t>
  </si>
  <si>
    <t>Stefan Cline</t>
  </si>
  <si>
    <t>Course</t>
  </si>
  <si>
    <t>Math 371 Elementary Computational Methods</t>
  </si>
  <si>
    <t xml:space="preserve">Module </t>
  </si>
  <si>
    <t xml:space="preserve">Homework </t>
  </si>
  <si>
    <t>Due Sept 13th</t>
  </si>
  <si>
    <t>LV3_InputMultSutrct</t>
  </si>
  <si>
    <t>Note* LV = Lecture Video</t>
  </si>
  <si>
    <t>LV7_TrueError</t>
  </si>
  <si>
    <t>LV8_TrueRelError</t>
  </si>
  <si>
    <t>LV8_AprxError</t>
  </si>
  <si>
    <t>LV9_SigFig</t>
  </si>
  <si>
    <t>LV10_11_SecxMcL</t>
  </si>
  <si>
    <t xml:space="preserve">LV12_Uncertainty </t>
  </si>
  <si>
    <t>Contents (per sheet)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</si>
</sst>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vertical="top" wrapText="1"/>
    </xf>
    <xf numFmtId="49" fontId="0" fillId="0" borderId="0" xfId="0" applyNumberFormat="1" applyAlignment="1">
      <alignment horizontal="right"/>
    </xf>
    <xf numFmtId="0" fontId="2" fillId="0" borderId="0" xfId="0" applyFont="1"/>
    <xf numFmtId="0" fontId="3" fillId="0" borderId="0" xfId="0" applyFont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4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0" fillId="0" borderId="0" xfId="0" applyBorder="1"/>
    <xf numFmtId="0" fontId="4" fillId="0" borderId="0" xfId="0" applyFont="1"/>
    <xf numFmtId="0" fontId="4" fillId="0" borderId="0" xfId="0" applyFont="1" applyAlignment="1">
      <alignment horizontal="left"/>
    </xf>
    <xf numFmtId="0" fontId="0" fillId="0" borderId="0" xfId="0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123825</xdr:rowOff>
    </xdr:from>
    <xdr:to>
      <xdr:col>5</xdr:col>
      <xdr:colOff>220541</xdr:colOff>
      <xdr:row>5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" y="123825"/>
          <a:ext cx="5392616" cy="914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7</xdr:row>
          <xdr:rowOff>85725</xdr:rowOff>
        </xdr:from>
        <xdr:to>
          <xdr:col>0</xdr:col>
          <xdr:colOff>2657475</xdr:colOff>
          <xdr:row>9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LV3_HW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66675</xdr:rowOff>
    </xdr:from>
    <xdr:to>
      <xdr:col>9</xdr:col>
      <xdr:colOff>265993</xdr:colOff>
      <xdr:row>2</xdr:row>
      <xdr:rowOff>47580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0" y="66675"/>
          <a:ext cx="5657143" cy="3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5</xdr:row>
      <xdr:rowOff>161925</xdr:rowOff>
    </xdr:from>
    <xdr:to>
      <xdr:col>8</xdr:col>
      <xdr:colOff>199402</xdr:colOff>
      <xdr:row>16</xdr:row>
      <xdr:rowOff>66425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250" y="1114425"/>
          <a:ext cx="4980952" cy="20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85725</xdr:rowOff>
    </xdr:from>
    <xdr:to>
      <xdr:col>7</xdr:col>
      <xdr:colOff>180430</xdr:colOff>
      <xdr:row>4</xdr:row>
      <xdr:rowOff>18963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" y="85725"/>
          <a:ext cx="4361905" cy="695238"/>
        </a:xfrm>
        <a:prstGeom prst="rect">
          <a:avLst/>
        </a:prstGeom>
      </xdr:spPr>
    </xdr:pic>
    <xdr:clientData/>
  </xdr:twoCellAnchor>
  <xdr:twoCellAnchor editAs="oneCell">
    <xdr:from>
      <xdr:col>0</xdr:col>
      <xdr:colOff>145214</xdr:colOff>
      <xdr:row>7</xdr:row>
      <xdr:rowOff>85725</xdr:rowOff>
    </xdr:from>
    <xdr:to>
      <xdr:col>7</xdr:col>
      <xdr:colOff>129601</xdr:colOff>
      <xdr:row>21</xdr:row>
      <xdr:rowOff>104775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214" y="1419225"/>
          <a:ext cx="4251587" cy="268605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228600</xdr:colOff>
      <xdr:row>7</xdr:row>
      <xdr:rowOff>85725</xdr:rowOff>
    </xdr:from>
    <xdr:to>
      <xdr:col>17</xdr:col>
      <xdr:colOff>411857</xdr:colOff>
      <xdr:row>21</xdr:row>
      <xdr:rowOff>104775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05400" y="1419225"/>
          <a:ext cx="5669657" cy="26860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66675</xdr:rowOff>
    </xdr:from>
    <xdr:to>
      <xdr:col>7</xdr:col>
      <xdr:colOff>608999</xdr:colOff>
      <xdr:row>2</xdr:row>
      <xdr:rowOff>142818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66675"/>
          <a:ext cx="4809524" cy="4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190500</xdr:colOff>
      <xdr:row>5</xdr:row>
      <xdr:rowOff>133350</xdr:rowOff>
    </xdr:from>
    <xdr:to>
      <xdr:col>11</xdr:col>
      <xdr:colOff>208709</xdr:colOff>
      <xdr:row>31</xdr:row>
      <xdr:rowOff>113683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500" y="1085850"/>
          <a:ext cx="6723809" cy="493333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95038</xdr:rowOff>
    </xdr:from>
    <xdr:to>
      <xdr:col>15</xdr:col>
      <xdr:colOff>93750</xdr:colOff>
      <xdr:row>5</xdr:row>
      <xdr:rowOff>123667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" y="95038"/>
          <a:ext cx="9294900" cy="98112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104776</xdr:rowOff>
    </xdr:from>
    <xdr:to>
      <xdr:col>15</xdr:col>
      <xdr:colOff>180975</xdr:colOff>
      <xdr:row>4</xdr:row>
      <xdr:rowOff>161776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625" y="104776"/>
          <a:ext cx="9286875" cy="819000"/>
        </a:xfrm>
        <a:prstGeom prst="rect">
          <a:avLst/>
        </a:prstGeom>
      </xdr:spPr>
    </xdr:pic>
    <xdr:clientData/>
  </xdr:twoCellAnchor>
  <xdr:twoCellAnchor editAs="oneCell">
    <xdr:from>
      <xdr:col>16</xdr:col>
      <xdr:colOff>142946</xdr:colOff>
      <xdr:row>11</xdr:row>
      <xdr:rowOff>47626</xdr:rowOff>
    </xdr:from>
    <xdr:to>
      <xdr:col>22</xdr:col>
      <xdr:colOff>209550</xdr:colOff>
      <xdr:row>22</xdr:row>
      <xdr:rowOff>1194640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15696" y="2343151"/>
          <a:ext cx="3724204" cy="3280614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7</xdr:row>
      <xdr:rowOff>28575</xdr:rowOff>
    </xdr:from>
    <xdr:to>
      <xdr:col>10</xdr:col>
      <xdr:colOff>341530</xdr:colOff>
      <xdr:row>27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250" y="1552575"/>
          <a:ext cx="6342280" cy="50101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104776</xdr:colOff>
      <xdr:row>0</xdr:row>
      <xdr:rowOff>133351</xdr:rowOff>
    </xdr:from>
    <xdr:to>
      <xdr:col>8</xdr:col>
      <xdr:colOff>19050</xdr:colOff>
      <xdr:row>6</xdr:row>
      <xdr:rowOff>143834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776" y="133351"/>
          <a:ext cx="4791074" cy="1153483"/>
        </a:xfrm>
        <a:prstGeom prst="rect">
          <a:avLst/>
        </a:prstGeom>
      </xdr:spPr>
    </xdr:pic>
    <xdr:clientData/>
  </xdr:twoCellAnchor>
  <xdr:twoCellAnchor editAs="oneCell">
    <xdr:from>
      <xdr:col>8</xdr:col>
      <xdr:colOff>75169</xdr:colOff>
      <xdr:row>0</xdr:row>
      <xdr:rowOff>66675</xdr:rowOff>
    </xdr:from>
    <xdr:to>
      <xdr:col>19</xdr:col>
      <xdr:colOff>104774</xdr:colOff>
      <xdr:row>38</xdr:row>
      <xdr:rowOff>3666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1969" y="66675"/>
          <a:ext cx="6735205" cy="717599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66675</xdr:rowOff>
    </xdr:from>
    <xdr:to>
      <xdr:col>12</xdr:col>
      <xdr:colOff>476250</xdr:colOff>
      <xdr:row>10</xdr:row>
      <xdr:rowOff>52502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" y="66675"/>
          <a:ext cx="7715250" cy="1890827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10</xdr:row>
      <xdr:rowOff>171450</xdr:rowOff>
    </xdr:from>
    <xdr:to>
      <xdr:col>12</xdr:col>
      <xdr:colOff>103861</xdr:colOff>
      <xdr:row>36</xdr:row>
      <xdr:rowOff>27974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775" y="2076450"/>
          <a:ext cx="7314286" cy="48095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C07C7-8076-46D6-A9B6-8BD750D03430}">
  <sheetPr codeName="Sheet5"/>
  <dimension ref="A1:B17"/>
  <sheetViews>
    <sheetView workbookViewId="0">
      <selection activeCell="D6" sqref="D6:E15"/>
    </sheetView>
  </sheetViews>
  <sheetFormatPr defaultRowHeight="15" x14ac:dyDescent="0.25"/>
  <cols>
    <col min="1" max="1" width="24.5703125" customWidth="1"/>
    <col min="2" max="2" width="49" customWidth="1"/>
    <col min="4" max="4" width="29.140625" customWidth="1"/>
  </cols>
  <sheetData>
    <row r="1" spans="1:2" ht="15.75" x14ac:dyDescent="0.25">
      <c r="A1" s="15" t="s">
        <v>42</v>
      </c>
      <c r="B1" s="15"/>
    </row>
    <row r="2" spans="1:2" ht="15.75" x14ac:dyDescent="0.25">
      <c r="A2" s="15"/>
      <c r="B2" s="15" t="s">
        <v>43</v>
      </c>
    </row>
    <row r="3" spans="1:2" ht="15.75" x14ac:dyDescent="0.25">
      <c r="A3" s="15" t="s">
        <v>44</v>
      </c>
      <c r="B3" s="15"/>
    </row>
    <row r="4" spans="1:2" ht="15.75" x14ac:dyDescent="0.25">
      <c r="A4" s="15"/>
      <c r="B4" s="15" t="s">
        <v>45</v>
      </c>
    </row>
    <row r="5" spans="1:2" ht="15.75" x14ac:dyDescent="0.25">
      <c r="A5" s="15" t="s">
        <v>46</v>
      </c>
      <c r="B5" s="15"/>
    </row>
    <row r="6" spans="1:2" ht="15.75" x14ac:dyDescent="0.25">
      <c r="A6" s="15"/>
      <c r="B6" s="16">
        <v>2</v>
      </c>
    </row>
    <row r="7" spans="1:2" ht="15.75" x14ac:dyDescent="0.25">
      <c r="A7" s="15" t="s">
        <v>47</v>
      </c>
      <c r="B7" s="15"/>
    </row>
    <row r="8" spans="1:2" ht="15.75" x14ac:dyDescent="0.25">
      <c r="A8" s="15"/>
      <c r="B8" s="15" t="s">
        <v>48</v>
      </c>
    </row>
    <row r="9" spans="1:2" x14ac:dyDescent="0.25">
      <c r="A9" t="s">
        <v>57</v>
      </c>
    </row>
    <row r="10" spans="1:2" x14ac:dyDescent="0.25">
      <c r="A10" t="s">
        <v>50</v>
      </c>
    </row>
    <row r="11" spans="1:2" x14ac:dyDescent="0.25">
      <c r="B11" t="s">
        <v>49</v>
      </c>
    </row>
    <row r="12" spans="1:2" x14ac:dyDescent="0.25">
      <c r="B12" t="s">
        <v>51</v>
      </c>
    </row>
    <row r="13" spans="1:2" x14ac:dyDescent="0.25">
      <c r="B13" t="s">
        <v>52</v>
      </c>
    </row>
    <row r="14" spans="1:2" x14ac:dyDescent="0.25">
      <c r="B14" t="s">
        <v>53</v>
      </c>
    </row>
    <row r="15" spans="1:2" x14ac:dyDescent="0.25">
      <c r="B15" t="s">
        <v>54</v>
      </c>
    </row>
    <row r="16" spans="1:2" x14ac:dyDescent="0.25">
      <c r="B16" t="s">
        <v>55</v>
      </c>
    </row>
    <row r="17" spans="2:2" x14ac:dyDescent="0.25">
      <c r="B17" t="s">
        <v>56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F9597-03E1-49CE-AAA0-6AD3E0FFD17F}">
  <sheetPr codeName="Sheet1"/>
  <dimension ref="A7:C13"/>
  <sheetViews>
    <sheetView workbookViewId="0">
      <selection activeCell="J28" sqref="J28"/>
    </sheetView>
  </sheetViews>
  <sheetFormatPr defaultRowHeight="15" x14ac:dyDescent="0.25"/>
  <cols>
    <col min="1" max="1" width="42.28515625" customWidth="1"/>
  </cols>
  <sheetData>
    <row r="7" spans="1:3" ht="61.5" customHeight="1" x14ac:dyDescent="0.25">
      <c r="A7" s="1" t="s">
        <v>0</v>
      </c>
    </row>
    <row r="10" spans="1:3" x14ac:dyDescent="0.25">
      <c r="B10" t="s">
        <v>1</v>
      </c>
      <c r="C10">
        <v>1</v>
      </c>
    </row>
    <row r="11" spans="1:3" x14ac:dyDescent="0.25">
      <c r="B11" t="s">
        <v>2</v>
      </c>
      <c r="C11">
        <v>2</v>
      </c>
    </row>
    <row r="12" spans="1:3" x14ac:dyDescent="0.25">
      <c r="B12" t="s">
        <v>4</v>
      </c>
      <c r="C12">
        <v>-1</v>
      </c>
    </row>
    <row r="13" spans="1:3" x14ac:dyDescent="0.25">
      <c r="B13" t="s">
        <v>3</v>
      </c>
      <c r="C13">
        <v>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2_LV3_HW">
                <anchor moveWithCells="1" sizeWithCells="1">
                  <from>
                    <xdr:col>0</xdr:col>
                    <xdr:colOff>114300</xdr:colOff>
                    <xdr:row>7</xdr:row>
                    <xdr:rowOff>85725</xdr:rowOff>
                  </from>
                  <to>
                    <xdr:col>0</xdr:col>
                    <xdr:colOff>2657475</xdr:colOff>
                    <xdr:row>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30EDD-0357-438C-A37A-8CAA170826FA}">
  <sheetPr codeName="Sheet2"/>
  <dimension ref="A5"/>
  <sheetViews>
    <sheetView workbookViewId="0">
      <selection activeCell="G22" sqref="G22"/>
    </sheetView>
  </sheetViews>
  <sheetFormatPr defaultRowHeight="15" x14ac:dyDescent="0.25"/>
  <sheetData>
    <row r="5" spans="1:1" x14ac:dyDescent="0.25">
      <c r="A5" t="s">
        <v>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5AF5D-FCE8-4F9E-84EF-9B82E8B5B4A6}">
  <sheetPr codeName="Sheet3"/>
  <dimension ref="A7:J30"/>
  <sheetViews>
    <sheetView workbookViewId="0">
      <selection activeCell="L32" sqref="L32"/>
    </sheetView>
  </sheetViews>
  <sheetFormatPr defaultRowHeight="15" x14ac:dyDescent="0.25"/>
  <sheetData>
    <row r="7" spans="1:10" x14ac:dyDescent="0.25">
      <c r="A7" t="s">
        <v>6</v>
      </c>
      <c r="B7" t="s">
        <v>7</v>
      </c>
      <c r="I7" t="s">
        <v>8</v>
      </c>
      <c r="J7" t="s">
        <v>7</v>
      </c>
    </row>
    <row r="30" spans="10:10" x14ac:dyDescent="0.25">
      <c r="J30" t="s">
        <v>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B57D5-E9E4-4EA7-AB17-74FC39FBE693}">
  <sheetPr codeName="Sheet4"/>
  <dimension ref="A5"/>
  <sheetViews>
    <sheetView workbookViewId="0">
      <selection activeCell="M26" sqref="M26"/>
    </sheetView>
  </sheetViews>
  <sheetFormatPr defaultRowHeight="15" x14ac:dyDescent="0.25"/>
  <sheetData>
    <row r="5" spans="1:1" x14ac:dyDescent="0.25">
      <c r="A5" t="s">
        <v>7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92CAF-8F80-4ECB-A0CF-BC29B83873E0}">
  <sheetPr codeName="Sheet6"/>
  <dimension ref="A8:C16"/>
  <sheetViews>
    <sheetView workbookViewId="0">
      <selection activeCell="D20" sqref="D20"/>
    </sheetView>
  </sheetViews>
  <sheetFormatPr defaultRowHeight="15" x14ac:dyDescent="0.25"/>
  <cols>
    <col min="3" max="3" width="11.28515625" customWidth="1"/>
  </cols>
  <sheetData>
    <row r="8" spans="1:3" x14ac:dyDescent="0.25">
      <c r="A8" t="s">
        <v>22</v>
      </c>
      <c r="B8" t="s">
        <v>23</v>
      </c>
      <c r="C8" t="s">
        <v>24</v>
      </c>
    </row>
    <row r="9" spans="1:3" x14ac:dyDescent="0.25">
      <c r="A9" t="s">
        <v>10</v>
      </c>
      <c r="B9" s="2">
        <v>28000</v>
      </c>
      <c r="C9">
        <v>2</v>
      </c>
    </row>
    <row r="10" spans="1:3" x14ac:dyDescent="0.25">
      <c r="A10" t="s">
        <v>11</v>
      </c>
      <c r="B10" s="2">
        <v>90630</v>
      </c>
      <c r="C10">
        <v>4</v>
      </c>
    </row>
    <row r="11" spans="1:3" x14ac:dyDescent="0.25">
      <c r="A11" t="s">
        <v>12</v>
      </c>
      <c r="B11" s="2">
        <v>2.002E-2</v>
      </c>
      <c r="C11">
        <v>4</v>
      </c>
    </row>
    <row r="12" spans="1:3" x14ac:dyDescent="0.25">
      <c r="A12" t="s">
        <v>13</v>
      </c>
      <c r="B12" s="2" t="s">
        <v>19</v>
      </c>
      <c r="C12">
        <v>4</v>
      </c>
    </row>
    <row r="13" spans="1:3" x14ac:dyDescent="0.25">
      <c r="A13" t="s">
        <v>14</v>
      </c>
      <c r="B13" s="2">
        <v>76.05</v>
      </c>
      <c r="C13">
        <v>4</v>
      </c>
    </row>
    <row r="14" spans="1:3" x14ac:dyDescent="0.25">
      <c r="A14" t="s">
        <v>15</v>
      </c>
      <c r="B14" s="2" t="s">
        <v>18</v>
      </c>
      <c r="C14">
        <v>4</v>
      </c>
    </row>
    <row r="15" spans="1:3" x14ac:dyDescent="0.25">
      <c r="A15" t="s">
        <v>16</v>
      </c>
      <c r="B15" s="2" t="s">
        <v>20</v>
      </c>
      <c r="C15">
        <v>4</v>
      </c>
    </row>
    <row r="16" spans="1:3" x14ac:dyDescent="0.25">
      <c r="A16" t="s">
        <v>17</v>
      </c>
      <c r="B16" s="2" t="s">
        <v>21</v>
      </c>
      <c r="C16">
        <v>6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08231-9EED-4C00-8A4C-01F41D941F88}">
  <sheetPr codeName="Sheet7"/>
  <dimension ref="A7:T36"/>
  <sheetViews>
    <sheetView workbookViewId="0">
      <selection activeCell="V32" sqref="V32"/>
    </sheetView>
  </sheetViews>
  <sheetFormatPr defaultRowHeight="15" x14ac:dyDescent="0.25"/>
  <cols>
    <col min="12" max="12" width="1.7109375" customWidth="1"/>
    <col min="14" max="14" width="12.140625" customWidth="1"/>
    <col min="15" max="15" width="13.7109375" customWidth="1"/>
    <col min="16" max="16" width="15.85546875" customWidth="1"/>
  </cols>
  <sheetData>
    <row r="7" spans="1:16" x14ac:dyDescent="0.25">
      <c r="A7" t="s">
        <v>25</v>
      </c>
    </row>
    <row r="8" spans="1:16" ht="15.75" x14ac:dyDescent="0.25">
      <c r="M8" s="4" t="s">
        <v>26</v>
      </c>
    </row>
    <row r="10" spans="1:16" x14ac:dyDescent="0.25">
      <c r="M10" t="s">
        <v>34</v>
      </c>
    </row>
    <row r="12" spans="1:16" x14ac:dyDescent="0.25">
      <c r="M12" s="6" t="s">
        <v>30</v>
      </c>
      <c r="N12" s="6" t="s">
        <v>31</v>
      </c>
      <c r="O12" s="6" t="s">
        <v>28</v>
      </c>
      <c r="P12" s="6" t="s">
        <v>29</v>
      </c>
    </row>
    <row r="13" spans="1:16" x14ac:dyDescent="0.25">
      <c r="M13" s="5">
        <v>0</v>
      </c>
      <c r="N13" s="5">
        <f>1</f>
        <v>1</v>
      </c>
      <c r="O13" s="5">
        <v>1</v>
      </c>
      <c r="P13" s="5">
        <f>N13*O13</f>
        <v>1</v>
      </c>
    </row>
    <row r="14" spans="1:16" x14ac:dyDescent="0.25">
      <c r="M14" s="5">
        <v>1</v>
      </c>
      <c r="N14" s="5">
        <f>((0)/(1))</f>
        <v>0</v>
      </c>
      <c r="O14" s="5">
        <f>PI()/9</f>
        <v>0.3490658503988659</v>
      </c>
      <c r="P14" s="5">
        <f t="shared" ref="P14:P16" si="0">N14*O14</f>
        <v>0</v>
      </c>
    </row>
    <row r="15" spans="1:16" x14ac:dyDescent="0.25">
      <c r="M15" s="5">
        <v>2</v>
      </c>
      <c r="N15" s="5">
        <f>1/(2)</f>
        <v>0.5</v>
      </c>
      <c r="O15" s="5">
        <f>(PI()/9)^2</f>
        <v>0.12184696791468343</v>
      </c>
      <c r="P15" s="5">
        <f t="shared" si="0"/>
        <v>6.0923483957341713E-2</v>
      </c>
    </row>
    <row r="16" spans="1:16" x14ac:dyDescent="0.25">
      <c r="M16" s="5">
        <v>3</v>
      </c>
      <c r="N16" s="5">
        <f>0/6</f>
        <v>0</v>
      </c>
      <c r="O16" s="5">
        <f>(PI()/9)^3</f>
        <v>4.25326154736623E-2</v>
      </c>
      <c r="P16" s="5">
        <f t="shared" si="0"/>
        <v>0</v>
      </c>
    </row>
    <row r="17" spans="1:20" x14ac:dyDescent="0.25">
      <c r="O17" s="12" t="s">
        <v>27</v>
      </c>
      <c r="P17" s="5">
        <f>SUM(P13:P16)</f>
        <v>1.0609234839573418</v>
      </c>
    </row>
    <row r="18" spans="1:20" ht="15.75" thickBot="1" x14ac:dyDescent="0.3"/>
    <row r="19" spans="1:20" ht="15.75" thickBot="1" x14ac:dyDescent="0.3">
      <c r="M19" s="8" t="s">
        <v>32</v>
      </c>
      <c r="N19" s="9"/>
      <c r="O19" s="9"/>
      <c r="P19" s="11">
        <f>P17</f>
        <v>1.0609234839573418</v>
      </c>
    </row>
    <row r="20" spans="1:20" ht="15.75" thickBot="1" x14ac:dyDescent="0.3"/>
    <row r="21" spans="1:20" ht="15.75" thickBot="1" x14ac:dyDescent="0.3">
      <c r="M21" s="8" t="s">
        <v>33</v>
      </c>
      <c r="N21" s="9"/>
      <c r="O21" s="9"/>
      <c r="P21" s="10">
        <f>_xlfn.SEC(0.349066)</f>
        <v>1.0641778304207898</v>
      </c>
    </row>
    <row r="23" spans="1:20" ht="99" customHeight="1" x14ac:dyDescent="0.25">
      <c r="M23" s="17" t="s">
        <v>41</v>
      </c>
      <c r="N23" s="17"/>
      <c r="O23" s="17"/>
      <c r="P23" s="17"/>
    </row>
    <row r="25" spans="1:20" x14ac:dyDescent="0.25">
      <c r="M25" s="6" t="s">
        <v>30</v>
      </c>
      <c r="N25" s="6" t="s">
        <v>31</v>
      </c>
      <c r="O25" s="6" t="s">
        <v>28</v>
      </c>
      <c r="P25" s="6" t="s">
        <v>29</v>
      </c>
    </row>
    <row r="26" spans="1:20" x14ac:dyDescent="0.25">
      <c r="M26" s="5">
        <v>4</v>
      </c>
      <c r="N26" s="5">
        <f>((18*(_xlfn.SEC(0.349066))^3*(TAN(0.349066))^3)+(5*(_xlfn.SEC(0.349066))^5)+((TAN(0.349066))^4*(_xlfn.SEC(0.349066))))/24</f>
        <v>0.32869430650346781</v>
      </c>
      <c r="O26" s="5">
        <f>(PI()/9)^4</f>
        <v>1.4846683590001892E-2</v>
      </c>
      <c r="P26" s="7">
        <f>N26*O26</f>
        <v>4.8800203664920881E-3</v>
      </c>
    </row>
    <row r="28" spans="1:20" x14ac:dyDescent="0.25">
      <c r="M28" s="5" t="s">
        <v>36</v>
      </c>
      <c r="N28" s="5" t="s">
        <v>37</v>
      </c>
      <c r="O28" s="5" t="s">
        <v>38</v>
      </c>
      <c r="S28" s="13"/>
      <c r="T28" s="13"/>
    </row>
    <row r="29" spans="1:20" x14ac:dyDescent="0.25">
      <c r="A29" t="s">
        <v>40</v>
      </c>
      <c r="M29" s="5">
        <f>P21</f>
        <v>1.0641778304207898</v>
      </c>
      <c r="N29" s="5">
        <f>P19</f>
        <v>1.0609234839573418</v>
      </c>
      <c r="O29" s="7">
        <f>ABS(M29-N29)</f>
        <v>3.2543464634480213E-3</v>
      </c>
      <c r="S29" s="14"/>
      <c r="T29" s="14"/>
    </row>
    <row r="30" spans="1:20" x14ac:dyDescent="0.25">
      <c r="A30" t="s">
        <v>35</v>
      </c>
      <c r="S30" s="14"/>
      <c r="T30" s="14"/>
    </row>
    <row r="31" spans="1:20" x14ac:dyDescent="0.25">
      <c r="M31" s="3" t="s">
        <v>39</v>
      </c>
      <c r="S31" s="14"/>
      <c r="T31" s="14"/>
    </row>
    <row r="32" spans="1:20" x14ac:dyDescent="0.25">
      <c r="S32" s="14"/>
      <c r="T32" s="14"/>
    </row>
    <row r="33" spans="19:20" x14ac:dyDescent="0.25">
      <c r="S33" s="14"/>
      <c r="T33" s="14"/>
    </row>
    <row r="34" spans="19:20" x14ac:dyDescent="0.25">
      <c r="S34" s="14"/>
      <c r="T34" s="14"/>
    </row>
    <row r="35" spans="19:20" x14ac:dyDescent="0.25">
      <c r="S35" s="14"/>
      <c r="T35" s="14"/>
    </row>
    <row r="36" spans="19:20" x14ac:dyDescent="0.25">
      <c r="S36" s="14"/>
      <c r="T36" s="14"/>
    </row>
  </sheetData>
  <mergeCells count="1">
    <mergeCell ref="M23:P23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2C34F-052C-4DE3-91CA-A5B5E7DC8D3F}">
  <sheetPr codeName="Sheet8"/>
  <dimension ref="A1"/>
  <sheetViews>
    <sheetView topLeftCell="A16" workbookViewId="0">
      <selection activeCell="E13" sqref="E1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FCE51-FC30-44FA-AD19-865DC0432488}">
  <sheetPr codeName="Sheet9"/>
  <dimension ref="A1"/>
  <sheetViews>
    <sheetView tabSelected="1" workbookViewId="0">
      <selection activeCell="P26" sqref="P26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Intro Sheet</vt:lpstr>
      <vt:lpstr>LV3_InputMultSubtrct</vt:lpstr>
      <vt:lpstr>LV7_TrueError</vt:lpstr>
      <vt:lpstr>LV8_TrueRelError</vt:lpstr>
      <vt:lpstr>LV8_AprxError</vt:lpstr>
      <vt:lpstr>LV9_SigFig</vt:lpstr>
      <vt:lpstr>LV10_11_SecxMcL</vt:lpstr>
      <vt:lpstr>LV12_Uncertainty</vt:lpstr>
      <vt:lpstr>LV13_PartDervUncert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Cline</dc:creator>
  <cp:lastModifiedBy>Stefan Cline</cp:lastModifiedBy>
  <dcterms:created xsi:type="dcterms:W3CDTF">2020-08-26T20:21:33Z</dcterms:created>
  <dcterms:modified xsi:type="dcterms:W3CDTF">2021-12-29T00:14:24Z</dcterms:modified>
</cp:coreProperties>
</file>