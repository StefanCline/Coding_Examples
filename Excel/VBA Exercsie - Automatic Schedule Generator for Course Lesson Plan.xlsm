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328" codeName="{316AF4FF-6532-DD95-964C-923D217D005E}"/>
  <workbookPr codeName="ThisWorkbook" defaultThemeVersion="166925"/>
  <mc:AlternateContent xmlns:mc="http://schemas.openxmlformats.org/markup-compatibility/2006">
    <mc:Choice Requires="x15">
      <x15ac:absPath xmlns:x15ac="http://schemas.microsoft.com/office/spreadsheetml/2010/11/ac" url="https://d.docs.live.net/8fa13b15e939eee1/Documents/School/2 Fall Semester 2020/FA20 Elementary Computational Methods/Extra Credit/"/>
    </mc:Choice>
  </mc:AlternateContent>
  <xr:revisionPtr revIDLastSave="848" documentId="8_{1E387AAE-1D9D-4D6E-8A8A-BE63381183E7}" xr6:coauthVersionLast="45" xr6:coauthVersionMax="45" xr10:uidLastSave="{F807C49F-3506-4392-8E9B-8E41503FF665}"/>
  <bookViews>
    <workbookView xWindow="-28920" yWindow="-120" windowWidth="29040" windowHeight="15840" tabRatio="839" xr2:uid="{247E09AE-2CC6-4872-83FB-44D164822C89}"/>
  </bookViews>
  <sheets>
    <sheet name="Intro Sheet" sheetId="1" r:id="rId1"/>
    <sheet name="Schedule_Generator" sheetId="26" r:id="rId2"/>
    <sheet name="Macro Dump" sheetId="12" r:id="rId3"/>
  </sheet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60" i="26" l="1"/>
  <c r="C160" i="26" s="1"/>
</calcChain>
</file>

<file path=xl/sharedStrings.xml><?xml version="1.0" encoding="utf-8"?>
<sst xmlns="http://schemas.openxmlformats.org/spreadsheetml/2006/main" count="682" uniqueCount="369">
  <si>
    <t>Course</t>
  </si>
  <si>
    <t>Math 371 Elementary Computational Methods</t>
  </si>
  <si>
    <t xml:space="preserve">Module </t>
  </si>
  <si>
    <t>Contents (per sheet)</t>
  </si>
  <si>
    <t xml:space="preserve"> </t>
  </si>
  <si>
    <t>*Note: MacroDump sheet is the last sheet in the event something causes the macros not to work. All fully written programs can be viewed there in plain text</t>
  </si>
  <si>
    <t>Macro Dump Page</t>
  </si>
  <si>
    <t xml:space="preserve">Problem: </t>
  </si>
  <si>
    <t xml:space="preserve">Solution: </t>
  </si>
  <si>
    <t>Due Date</t>
  </si>
  <si>
    <t>Student</t>
  </si>
  <si>
    <t>Stefan Cline</t>
  </si>
  <si>
    <t>Extra Credit Assignment</t>
  </si>
  <si>
    <t>School Timelines in VBA</t>
  </si>
  <si>
    <t>Problem instructions can be found in the embedded PDF</t>
  </si>
  <si>
    <t xml:space="preserve">Introduction </t>
  </si>
  <si>
    <t>i.1</t>
  </si>
  <si>
    <t>i.2</t>
  </si>
  <si>
    <t>Chapter</t>
  </si>
  <si>
    <t>Section</t>
  </si>
  <si>
    <t>Count</t>
  </si>
  <si>
    <t>Holidays</t>
  </si>
  <si>
    <t>Name</t>
  </si>
  <si>
    <t>Date</t>
  </si>
  <si>
    <t>Veterans Day</t>
  </si>
  <si>
    <t>Thanksgiving</t>
  </si>
  <si>
    <t>Christmas Eve</t>
  </si>
  <si>
    <t>Christmas Day</t>
  </si>
  <si>
    <t>New Year's</t>
  </si>
  <si>
    <t>MLK Day</t>
  </si>
  <si>
    <t>President's Day</t>
  </si>
  <si>
    <t>Memorial Day</t>
  </si>
  <si>
    <t>Independence Day</t>
  </si>
  <si>
    <t>Labor Day</t>
  </si>
  <si>
    <t>Columbus Day</t>
  </si>
  <si>
    <t>*Note, intro sections are "i.1" and "i.2"</t>
  </si>
  <si>
    <t>Mid-Term Take</t>
  </si>
  <si>
    <t>Final Prep</t>
  </si>
  <si>
    <t>Final Take</t>
  </si>
  <si>
    <t>*Note, if you entered "N" above, you can leave this blank</t>
  </si>
  <si>
    <t xml:space="preserve">1. Fill in the boxes highlighted in yellow with </t>
  </si>
  <si>
    <t>2. Make sure the day for "Today's Date" is correct</t>
  </si>
  <si>
    <t>2a. If it is not correct click the cell and hit enter for it to update</t>
  </si>
  <si>
    <t>Today's Date</t>
  </si>
  <si>
    <t>Title</t>
  </si>
  <si>
    <t>Note: The last day of instruction cannot be a federally recognized holiday</t>
  </si>
  <si>
    <t>Note: The program assumes the course will not take more than 1 year to complete (i.e. 365 days of instruction)</t>
  </si>
  <si>
    <t>3. Once all data has been entered, click the macro button below to run the program</t>
  </si>
  <si>
    <t>DO NOT DELETE</t>
  </si>
  <si>
    <t>User Instructions:</t>
  </si>
  <si>
    <t>Program Database</t>
  </si>
  <si>
    <t>Section / Assignment</t>
  </si>
  <si>
    <t>Legend</t>
  </si>
  <si>
    <t>MTS</t>
  </si>
  <si>
    <t>TMT</t>
  </si>
  <si>
    <t>FS</t>
  </si>
  <si>
    <t>TF</t>
  </si>
  <si>
    <t>Mid-Term Study</t>
  </si>
  <si>
    <t>Take Mid-Term</t>
  </si>
  <si>
    <t>Final Study</t>
  </si>
  <si>
    <t>Take Final</t>
  </si>
  <si>
    <t>Start Date</t>
  </si>
  <si>
    <t>End Date</t>
  </si>
  <si>
    <t>Intro 1</t>
  </si>
  <si>
    <t>Intro 2</t>
  </si>
  <si>
    <t>Total Instruction Days:</t>
  </si>
  <si>
    <t>Statistics</t>
  </si>
  <si>
    <t>Have you already completed some sections of the course? (Y or N)</t>
  </si>
  <si>
    <t>Ch1 Application</t>
  </si>
  <si>
    <t>Ch1 Writing Assignment</t>
  </si>
  <si>
    <t>Ch1 Test</t>
  </si>
  <si>
    <t>Ch2 Application</t>
  </si>
  <si>
    <t>Ch2 Writing Assignment</t>
  </si>
  <si>
    <t>Ch2 Test</t>
  </si>
  <si>
    <t>Ch3 Application</t>
  </si>
  <si>
    <t>Ch3 Writing Assignment</t>
  </si>
  <si>
    <t>Ch3 Test</t>
  </si>
  <si>
    <t>Ch4 Application</t>
  </si>
  <si>
    <t>Ch4 Writing Assignment</t>
  </si>
  <si>
    <t>Ch4 Test</t>
  </si>
  <si>
    <t>Ch5 Application</t>
  </si>
  <si>
    <t>Ch5 Writing Assignment</t>
  </si>
  <si>
    <t>Ch5 Test</t>
  </si>
  <si>
    <t>Ch6 Application</t>
  </si>
  <si>
    <t>Ch6 Writing Assignment</t>
  </si>
  <si>
    <t>Ch6 Test</t>
  </si>
  <si>
    <t>Ch7 Application</t>
  </si>
  <si>
    <t>Ch7 Writing Assignment</t>
  </si>
  <si>
    <t>Ch7 Test</t>
  </si>
  <si>
    <t>Ch8 Application</t>
  </si>
  <si>
    <t>Ch8 Writing Assignment</t>
  </si>
  <si>
    <t>Ch8 Test</t>
  </si>
  <si>
    <t>Ch9 Application</t>
  </si>
  <si>
    <t>Ch9 Writing Assignment</t>
  </si>
  <si>
    <t>Ch9 Test</t>
  </si>
  <si>
    <t>Ch10 Application</t>
  </si>
  <si>
    <t>Ch10 Writing Assignment</t>
  </si>
  <si>
    <t>Ch10 Test</t>
  </si>
  <si>
    <t>Ch11 Application</t>
  </si>
  <si>
    <t>Ch11 Writing Assignment</t>
  </si>
  <si>
    <t>Ch11 Test</t>
  </si>
  <si>
    <t>What is the last section you completed? (Ex 1.1, Ch3 Test, TMT, Ch2 Application, see D10)</t>
  </si>
  <si>
    <t>Date (DD-MM-YYYY)</t>
  </si>
  <si>
    <t>Public Sub Course_Study_Plan()</t>
  </si>
  <si>
    <t>Rem This program will generate a study plan based off the user's start and end dates.</t>
  </si>
  <si>
    <t>' Note: Holidays will be no work/instruction days</t>
  </si>
  <si>
    <t>' Note: End and start days cannot be on a Holiday</t>
  </si>
  <si>
    <t>' Note: The program assumes that the course plan will not exceed 1 year</t>
  </si>
  <si>
    <t>Rem First we'll look at the start and end dates to see if they're acceptable dates,</t>
  </si>
  <si>
    <t>' if they've enetered them correctly, if it's on a federal holiday, or if the time is</t>
  </si>
  <si>
    <t>' too long.</t>
  </si>
  <si>
    <t>' Also we'll delete any data that might be in the table first</t>
  </si>
  <si>
    <t>Range("G18:H132").ClearContents</t>
  </si>
  <si>
    <t>Dim StartDate As Date, EndDate As Date, TodayDate As Date, IterDate As Date, CheckDate As Date</t>
  </si>
  <si>
    <t>Dim i, n, q, s, t, m  As Integer</t>
  </si>
  <si>
    <t>Dim pM, pF, rM, rF, Count1, Count2, CountM, CountF, dM, dF, SRemain As Double</t>
  </si>
  <si>
    <t>Dim CoursePosition As String</t>
  </si>
  <si>
    <t>If Cells(18, "E") = 0 Or Cells(19, "E") = 0 Or Cells(20, "E") = 0 Then</t>
  </si>
  <si>
    <t xml:space="preserve">        MsgBox ("Please input an appropriate date for each cell: E18, E19 and E20.")</t>
  </si>
  <si>
    <t xml:space="preserve">        MsgBox ("The program will now termiante.")</t>
  </si>
  <si>
    <t xml:space="preserve">        GoTo 1:</t>
  </si>
  <si>
    <t xml:space="preserve">    Else</t>
  </si>
  <si>
    <t xml:space="preserve">        i = 1</t>
  </si>
  <si>
    <t>End If</t>
  </si>
  <si>
    <t>If IsDate(Cells(18, "E").Value) Then</t>
  </si>
  <si>
    <t xml:space="preserve">        TodayDate = Cells(18, "E").Value</t>
  </si>
  <si>
    <t xml:space="preserve">        MsgBox ("Please enter today's date by typing =TODAY() in Cell E18.")</t>
  </si>
  <si>
    <t xml:space="preserve">        MsgBox ("The program will now terminate.")</t>
  </si>
  <si>
    <t xml:space="preserve">        </t>
  </si>
  <si>
    <t>If IsDate(Cells(19, "E").Value) Then</t>
  </si>
  <si>
    <t xml:space="preserve">        StartDate = Cells(19, "E").Value</t>
  </si>
  <si>
    <t xml:space="preserve">        MsgBox ("The start date must be a date.")</t>
  </si>
  <si>
    <t xml:space="preserve">        MsgBox ("Terminating Program. Please re-enter the start date and try again.")</t>
  </si>
  <si>
    <t>If IsDate(Cells(20, "E").Value) Then</t>
  </si>
  <si>
    <t xml:space="preserve">        EndDate = Cells(20, "E").Value</t>
  </si>
  <si>
    <t xml:space="preserve">        MsgBox ("The end date must be a date.")</t>
  </si>
  <si>
    <t>If EndDate - StartDate &gt; 365 Then</t>
  </si>
  <si>
    <t xml:space="preserve">    MsgBox ("The course time should not exceed 1 year (365 Days).")</t>
  </si>
  <si>
    <t xml:space="preserve">    MsgBox ("Terminating Program. Please re-enter the start and end dates.")</t>
  </si>
  <si>
    <t xml:space="preserve">    GoTo 1:</t>
  </si>
  <si>
    <t>If StartDate &gt;= EndDate Then</t>
  </si>
  <si>
    <t xml:space="preserve">    MsgBox ("The start date must be before the end date. Please re-enter your start and end dates and try again.")</t>
  </si>
  <si>
    <t xml:space="preserve">    MsgBox ("Terminating the program. Please re-enter your dates.")</t>
  </si>
  <si>
    <t>If (StartDate - TodayDate) &lt; 0 Then</t>
  </si>
  <si>
    <t xml:space="preserve">    MsgBox ("Please enter a start date as today or in the future.")</t>
  </si>
  <si>
    <t xml:space="preserve">    MsgBox ("Terminating Program. Please re-enter the start date and try again.")</t>
  </si>
  <si>
    <t xml:space="preserve">    </t>
  </si>
  <si>
    <t>Do While i &lt; 12</t>
  </si>
  <si>
    <t xml:space="preserve">    If StartDate = Cells(146 + i, "B").Value Then</t>
  </si>
  <si>
    <t xml:space="preserve">        MsgBox ("Please enter a start date that is not on a Federal Holiday. You've Entered: " &amp; Cells(146 + i, "A") &amp; ", as your start date.")</t>
  </si>
  <si>
    <t xml:space="preserve">        MsgBox ("The Federal Holiday list can be found in cells A147-A157.")</t>
  </si>
  <si>
    <t xml:space="preserve">        i = i + 1</t>
  </si>
  <si>
    <t>Loop</t>
  </si>
  <si>
    <t xml:space="preserve">    If EndDate = Cells(146 + i, "B").Value Then</t>
  </si>
  <si>
    <t xml:space="preserve">        MsgBox ("Please enter an end date that is not on a Federal Holiday. You've Entered: " &amp; Cells(146 + i, "A") &amp; ", as your end date.")</t>
  </si>
  <si>
    <t xml:space="preserve">        MsgBox ("Terminating Program. Please re-enter the end date and try again.")</t>
  </si>
  <si>
    <t xml:space="preserve">    End If</t>
  </si>
  <si>
    <t>q = 1</t>
  </si>
  <si>
    <t>If Cells(21, "E") = "Y" Then</t>
  </si>
  <si>
    <t xml:space="preserve">            i = 1</t>
  </si>
  <si>
    <t xml:space="preserve">            Do While i &lt; 117</t>
  </si>
  <si>
    <t xml:space="preserve">                If CoursePosition = Cells(28 + i, "B") Then</t>
  </si>
  <si>
    <t xml:space="preserve">                        q = i + 1</t>
  </si>
  <si>
    <t xml:space="preserve">                        i = 117</t>
  </si>
  <si>
    <t xml:space="preserve">                        SRemain = 115 - q - 1</t>
  </si>
  <si>
    <t xml:space="preserve">                            If CoursePosition = "Ch11 Test" Then</t>
  </si>
  <si>
    <t xml:space="preserve">                                q = 109</t>
  </si>
  <si>
    <t xml:space="preserve">                                GoTo 20:</t>
  </si>
  <si>
    <t xml:space="preserve">                            End If</t>
  </si>
  <si>
    <t xml:space="preserve">                    ElseIf i &lt; 116 Then</t>
  </si>
  <si>
    <t xml:space="preserve">                        i = i + 1</t>
  </si>
  <si>
    <t xml:space="preserve">                    ElseIf i = 116 Then</t>
  </si>
  <si>
    <t xml:space="preserve">                        CoursePosition = InputBox("Please enter the last section that was completed. For help look at Cell D10.")</t>
  </si>
  <si>
    <t xml:space="preserve">                        Cells(22, "E") = CoursePosition</t>
  </si>
  <si>
    <t xml:space="preserve">                        i = 0</t>
  </si>
  <si>
    <t xml:space="preserve">                End If</t>
  </si>
  <si>
    <t xml:space="preserve">            Loop</t>
  </si>
  <si>
    <t xml:space="preserve">    ElseIf Cells(21, "E") = "N" Then</t>
  </si>
  <si>
    <t xml:space="preserve">        q = 1</t>
  </si>
  <si>
    <t xml:space="preserve">        SRemain = 115</t>
  </si>
  <si>
    <t xml:space="preserve">        Cells(21, "E") = InputBox("Please Enter Y or N to answer if you have completed some assignments already.")</t>
  </si>
  <si>
    <t xml:space="preserve">        GoTo 16:</t>
  </si>
  <si>
    <t>If Cells(21, "E") = "N" Then</t>
  </si>
  <si>
    <t xml:space="preserve">    Range("E22").ClearContents</t>
  </si>
  <si>
    <t>Rem Now we'll go about calculating the total days in the instruction period.</t>
  </si>
  <si>
    <t>'We'll first need to determine the total number of days of instruction for the course period. This will remove</t>
  </si>
  <si>
    <t>' any dates that are federal holidays as well. Count = total instruction days.</t>
  </si>
  <si>
    <t>'   Note: The plus 1 adds a day. Ex. today is start tomorrow is finish, then you have today AND tomorrow to work</t>
  </si>
  <si>
    <t>'           on your schoolwork but today minus tomorrow is equal to 1. Therefore plus one to account for one of</t>
  </si>
  <si>
    <t>'           the days.</t>
  </si>
  <si>
    <t>Count1 = Cells(160, "B")</t>
  </si>
  <si>
    <t>i = 1</t>
  </si>
  <si>
    <t xml:space="preserve">    If (EndDate - Cells(146 + i, "B") &gt; 0) And (StartDate - Cells(146 + i, "B") &lt; 0) Then</t>
  </si>
  <si>
    <t xml:space="preserve">        Count1 = Count1 - 1</t>
  </si>
  <si>
    <t>MsgBox ("Total Days Including Federal Holidays: " &amp; Cells(160, "B") &amp; ", Total Days Excluding Federal Holidays: " &amp; Count1)</t>
  </si>
  <si>
    <t>If Count1 &lt; 17 And q &lt; 57 Then</t>
  </si>
  <si>
    <t xml:space="preserve">    MsgBox ("There is not enough time to compelte the course with the dates provided.")</t>
  </si>
  <si>
    <t xml:space="preserve">    MsgBox ("Program Terminating. Please re-enter the dates to give more time for the course.")</t>
  </si>
  <si>
    <t>If Count1 &lt; 9 And q &lt; 109 Then</t>
  </si>
  <si>
    <t>Rem We'll now set up a series of if then statements based off of the total days we're working with.</t>
  </si>
  <si>
    <t>' If this amount of time is more than the total days then we'll be adding spaces between our days of instruction</t>
  </si>
  <si>
    <t>' If this amount of time is less than the total days of instruction, then we'll be adding more than 1 section per day.</t>
  </si>
  <si>
    <t>' If this time is somehow exactly the same amount of days we have, then it will go through the days in order.</t>
  </si>
  <si>
    <t>'       Wouldn't this be nice if this was always the case!</t>
  </si>
  <si>
    <t>m = 1</t>
  </si>
  <si>
    <t>'First:     if the total instruction days are more than sections to cover</t>
  </si>
  <si>
    <t>If Count1 / SRemain &gt; 1 Then</t>
  </si>
  <si>
    <t xml:space="preserve">    i = 1</t>
  </si>
  <si>
    <t xml:space="preserve">    s = 1</t>
  </si>
  <si>
    <t xml:space="preserve">    t = q - 1</t>
  </si>
  <si>
    <t xml:space="preserve">    IterDate = StartDate</t>
  </si>
  <si>
    <t xml:space="preserve">    If q &lt;= 56 Then</t>
  </si>
  <si>
    <t xml:space="preserve">            Count2 = Count1 - 14</t>
  </si>
  <si>
    <t xml:space="preserve">        ElseIf q &gt;= 64 Then</t>
  </si>
  <si>
    <t xml:space="preserve">            Count2 = Count1 - 7</t>
  </si>
  <si>
    <t xml:space="preserve">    dM = 57 - q</t>
  </si>
  <si>
    <t xml:space="preserve">    If q &lt;= 57 Then</t>
  </si>
  <si>
    <t xml:space="preserve">            dF = 108 - 63</t>
  </si>
  <si>
    <t xml:space="preserve">        Else</t>
  </si>
  <si>
    <t xml:space="preserve">            dF = 109 - q</t>
  </si>
  <si>
    <t xml:space="preserve">    If q &gt;= 57 Then</t>
  </si>
  <si>
    <t xml:space="preserve">        dM = 0</t>
  </si>
  <si>
    <t xml:space="preserve">    CountM = Application.WorksheetFunction.Round((dM / (dM + dF) * Count2), 0)</t>
  </si>
  <si>
    <t xml:space="preserve">    CountM = Application.WorksheetFunction.Round(CountM, 0)</t>
  </si>
  <si>
    <t xml:space="preserve">    CountF = Count2 - CountM</t>
  </si>
  <si>
    <t xml:space="preserve">    If dM = 0 Then</t>
  </si>
  <si>
    <t xml:space="preserve">        CountM = 1</t>
  </si>
  <si>
    <t xml:space="preserve">    If dM &lt;&gt; 0 Then</t>
  </si>
  <si>
    <t xml:space="preserve">        pM = Application.WorksheetFunction.RoundDown(CountM / dM, 0)</t>
  </si>
  <si>
    <t xml:space="preserve">        rM = CountM Mod dM</t>
  </si>
  <si>
    <t xml:space="preserve">    If dF &lt;&gt; 0 Then</t>
  </si>
  <si>
    <t xml:space="preserve">        pF = Application.WorksheetFunction.RoundDown(CountF / dF, 0)</t>
  </si>
  <si>
    <t xml:space="preserve">        rF = CountF Mod dF</t>
  </si>
  <si>
    <t xml:space="preserve">    Do While q &gt; 0 And q &lt; 57 And rM &gt; 0</t>
  </si>
  <si>
    <t xml:space="preserve">    'Placing in the excess days</t>
  </si>
  <si>
    <t xml:space="preserve">            Do While i &lt; 12</t>
  </si>
  <si>
    <t xml:space="preserve">                    If IterDate = Cells(146 + i, "B") Then</t>
  </si>
  <si>
    <t xml:space="preserve">                        IterDate = DateAdd("d", 1, IterDate)</t>
  </si>
  <si>
    <t xml:space="preserve">                        GoTo 9:</t>
  </si>
  <si>
    <t xml:space="preserve">                    Else</t>
  </si>
  <si>
    <t xml:space="preserve">                    End If</t>
  </si>
  <si>
    <t xml:space="preserve">            </t>
  </si>
  <si>
    <t xml:space="preserve">            If (m * (pM + 1)) / s = 1 Then</t>
  </si>
  <si>
    <t xml:space="preserve">                    Cells(17 + q - t, "G") = Cells(28 + q, "B")</t>
  </si>
  <si>
    <t xml:space="preserve">                    Cells(17 + q - t, "H") = IterDate</t>
  </si>
  <si>
    <t xml:space="preserve">                    IterDate = DateAdd("d", 1, IterDate)</t>
  </si>
  <si>
    <t xml:space="preserve">                    s = s + 1</t>
  </si>
  <si>
    <t xml:space="preserve">                    q = q + 1</t>
  </si>
  <si>
    <t xml:space="preserve">                    m = m + 1</t>
  </si>
  <si>
    <t xml:space="preserve">                    rM = rM - 1</t>
  </si>
  <si>
    <t xml:space="preserve">                ElseIf (m * (pM + 1)) / s &gt; 1 Then</t>
  </si>
  <si>
    <t xml:space="preserve">            End If</t>
  </si>
  <si>
    <t xml:space="preserve">    Loop</t>
  </si>
  <si>
    <t xml:space="preserve">    m = 1</t>
  </si>
  <si>
    <t xml:space="preserve">    Do While q &gt; 0 And q &lt; 57 And rM &lt;= 0</t>
  </si>
  <si>
    <t xml:space="preserve">    'Excess days are all accounted for</t>
  </si>
  <si>
    <t xml:space="preserve">            If i &lt; 12 Then</t>
  </si>
  <si>
    <t xml:space="preserve">                Do While i &lt; 12</t>
  </si>
  <si>
    <t xml:space="preserve">                        If IterDate = Cells(146 + i, "B") Then</t>
  </si>
  <si>
    <t xml:space="preserve">                            IterDate = DateAdd("d", 1, IterDate)</t>
  </si>
  <si>
    <t xml:space="preserve">                            GoTo 10:</t>
  </si>
  <si>
    <t xml:space="preserve">                        Else</t>
  </si>
  <si>
    <t xml:space="preserve">                            i = i + 1</t>
  </si>
  <si>
    <t xml:space="preserve">                        End If</t>
  </si>
  <si>
    <t xml:space="preserve">                Loop</t>
  </si>
  <si>
    <t xml:space="preserve">            If ((m * pM) / s = 1) Or (pM = 0) Then</t>
  </si>
  <si>
    <t xml:space="preserve">                ElseIf (m * pM) / s &gt; 1 Then</t>
  </si>
  <si>
    <t xml:space="preserve">    Do While q &gt; 56 And q &lt; 64</t>
  </si>
  <si>
    <t xml:space="preserve">    'Hard block off for mid term</t>
  </si>
  <si>
    <t xml:space="preserve">                        GoTo 11:</t>
  </si>
  <si>
    <t xml:space="preserve">                Cells(17 + q - t, "G") = Cells(28 + q, "B")</t>
  </si>
  <si>
    <t xml:space="preserve">                Cells(17 + q - t, "H") = IterDate</t>
  </si>
  <si>
    <t xml:space="preserve">                IterDate = DateAdd("d", 1, IterDate)</t>
  </si>
  <si>
    <t xml:space="preserve">                q = q + 1</t>
  </si>
  <si>
    <t xml:space="preserve">    Do While q &gt; 63 And q &lt; 109 And rF &gt; 0</t>
  </si>
  <si>
    <t xml:space="preserve">                        GoTo 12:</t>
  </si>
  <si>
    <t xml:space="preserve">            If (m * (pF + 1)) / s = 1 Then</t>
  </si>
  <si>
    <t xml:space="preserve">                    rF = rF - 1</t>
  </si>
  <si>
    <t xml:space="preserve">                ElseIf (m * (pF + 1)) / s &gt; 1 Then</t>
  </si>
  <si>
    <t xml:space="preserve">    Do While q &gt; 63 And q &lt; 109 And rF &lt;= 0</t>
  </si>
  <si>
    <t xml:space="preserve">                            GoTo 13:</t>
  </si>
  <si>
    <t xml:space="preserve">            If ((m * pF) / s = 1) Or (pF = 0) Then</t>
  </si>
  <si>
    <t xml:space="preserve">                ElseIf (m * pF) / s &gt; 1 Then</t>
  </si>
  <si>
    <t xml:space="preserve">    Do While q &gt; 108 And q &lt; 116</t>
  </si>
  <si>
    <t xml:space="preserve">    'Hard block off for final</t>
  </si>
  <si>
    <t xml:space="preserve">                        GoTo 14:</t>
  </si>
  <si>
    <t>'Secondly for the portion where we have less days than sections to cover.</t>
  </si>
  <si>
    <t>If Count1 / SRemain &lt; 1 Then</t>
  </si>
  <si>
    <t xml:space="preserve">    CountM = Application.WorksheetFunction.Round(((dM / (dM + dF)) * Count2), 0)</t>
  </si>
  <si>
    <t xml:space="preserve">    pM = Application.WorksheetFunction.RoundDown(dM / CountM, 0)</t>
  </si>
  <si>
    <t xml:space="preserve">    pF = Application.WorksheetFunction.RoundDown(dF / CountF, 0)</t>
  </si>
  <si>
    <t xml:space="preserve">    rM = dM Mod CountM</t>
  </si>
  <si>
    <t xml:space="preserve">    rF = dF Mod CountF</t>
  </si>
  <si>
    <t xml:space="preserve">        Do While q &lt; 57 And q &gt; 0 And rM &gt; 0</t>
  </si>
  <si>
    <t xml:space="preserve">        'Doing when the remainder days that we need to double up on are still required</t>
  </si>
  <si>
    <t xml:space="preserve">            s = 1</t>
  </si>
  <si>
    <t xml:space="preserve">                        GoTo 3:</t>
  </si>
  <si>
    <t xml:space="preserve">            Do While s &lt;= pM</t>
  </si>
  <si>
    <t xml:space="preserve">                s = s + 1</t>
  </si>
  <si>
    <t xml:space="preserve">            If rM &gt; 0 Then</t>
  </si>
  <si>
    <t xml:space="preserve">                rM = rM - 1</t>
  </si>
  <si>
    <t xml:space="preserve">            IterDate = DateAdd("d", 1, IterDate)</t>
  </si>
  <si>
    <t xml:space="preserve">        Loop</t>
  </si>
  <si>
    <t xml:space="preserve">        Do While q &lt; 57 And q &gt; 0</t>
  </si>
  <si>
    <t xml:space="preserve">        'Doing when the remainder days that we need to double up on are completed</t>
  </si>
  <si>
    <t xml:space="preserve">                        GoTo 4:</t>
  </si>
  <si>
    <t xml:space="preserve">                Do While s &lt;= pM</t>
  </si>
  <si>
    <t xml:space="preserve">        Do While q &gt; 56 And q &lt; 64</t>
  </si>
  <si>
    <t xml:space="preserve">        'For the 7 hard slotted days for midterm prep and taking</t>
  </si>
  <si>
    <t xml:space="preserve">                        GoTo 5:</t>
  </si>
  <si>
    <t xml:space="preserve">                Cells(17 + q - t, "G") = Cells(28 + q, "B").Text</t>
  </si>
  <si>
    <t xml:space="preserve">                </t>
  </si>
  <si>
    <t xml:space="preserve">        Do While q &lt; 109 And q &gt; 63 And rF &gt; 0</t>
  </si>
  <si>
    <t xml:space="preserve">                        GoTo 6:</t>
  </si>
  <si>
    <t xml:space="preserve">            Do While s &lt;= pF</t>
  </si>
  <si>
    <t xml:space="preserve">            If rF &gt; 0 Then</t>
  </si>
  <si>
    <t xml:space="preserve">                rF = rF - 1</t>
  </si>
  <si>
    <t xml:space="preserve">        Do While q &lt; 109 And q &gt; 63</t>
  </si>
  <si>
    <t xml:space="preserve">                        GoTo 7:</t>
  </si>
  <si>
    <t xml:space="preserve">                Do While s &lt;= pF</t>
  </si>
  <si>
    <t xml:space="preserve">        Do While q &gt; 108 And q &lt; 116</t>
  </si>
  <si>
    <t xml:space="preserve">                        GoTo 8:</t>
  </si>
  <si>
    <t>'Lastly:    If total instruction days are exactly equal to sections needed to be covered</t>
  </si>
  <si>
    <t>'           Again, doesn't this look so nice and simple?</t>
  </si>
  <si>
    <t>If Count1 / SRemain = 1 Then</t>
  </si>
  <si>
    <t xml:space="preserve">    IterDate = StartDate - 1</t>
  </si>
  <si>
    <t xml:space="preserve">    Do While q &lt; 116</t>
  </si>
  <si>
    <t xml:space="preserve">        IterDate = DateAdd("d", 1, IterDate)</t>
  </si>
  <si>
    <t xml:space="preserve">                If IterDate = Cells(146 + i, "B") Then</t>
  </si>
  <si>
    <t xml:space="preserve">                    GoTo 15:</t>
  </si>
  <si>
    <t xml:space="preserve">                Else</t>
  </si>
  <si>
    <t xml:space="preserve">                    i = i + 1</t>
  </si>
  <si>
    <t xml:space="preserve">        Cells(17 + q - t, "H") = IterDate</t>
  </si>
  <si>
    <t xml:space="preserve">        Cells(17 + q - t, "G") = Cells(28 + q, "B").Text</t>
  </si>
  <si>
    <t xml:space="preserve">        q = q + 1</t>
  </si>
  <si>
    <t>MsgBox "Course Study Plan Complete."</t>
  </si>
  <si>
    <t>End Sub</t>
  </si>
  <si>
    <t xml:space="preserve"> 1:</t>
  </si>
  <si>
    <t xml:space="preserve"> 15:</t>
  </si>
  <si>
    <t xml:space="preserve"> 20:</t>
  </si>
  <si>
    <t xml:space="preserve"> 12: </t>
  </si>
  <si>
    <t xml:space="preserve"> 10: </t>
  </si>
  <si>
    <t xml:space="preserve"> 16: </t>
  </si>
  <si>
    <t>1. I assumed that the length of the course would not exceed 1 year</t>
  </si>
  <si>
    <t>2. I added Federal Holidays as a consideration, ex. Things cannot be due on Christmas</t>
  </si>
  <si>
    <t>3. I assumed that the last 3 "sections" for any chapter would be the assignments, and not that there would be 7 sections, plus the assignments</t>
  </si>
  <si>
    <t xml:space="preserve">A few notes about my assumptions for the grader: </t>
  </si>
  <si>
    <t xml:space="preserve">4. I assumed that frontloading: doubling up sections/assignments on a single day, and giving extra days to do one assignment/section was what was desired. This however could have been done in a score of different ways as a sort of "business logic preference". However, building in all of these different prefreneces would have been time consuming so I picked frontloading. </t>
  </si>
  <si>
    <t>5. I chose to make the dates user inputs into the cells rather than entry dates as formatting can get complicated that way. Therefore the yellow highlighted cells are where the user should input for the program to run</t>
  </si>
  <si>
    <t>5a. This is also why the program termiantes as opposed to asking for dates - to avoid the user failing consistently to input a date in a proper format and being stuck in a loop</t>
  </si>
  <si>
    <t xml:space="preserve">            If Cells(22, "E") &lt;&gt; 0 Then</t>
  </si>
  <si>
    <t xml:space="preserve">                CoursePosition = Cells(22, "E")</t>
  </si>
  <si>
    <t xml:space="preserve">            Else</t>
  </si>
  <si>
    <t xml:space="preserve">                CoursePosition = InputBox("Please enter the last section that was completed. For help look at Cell D10.")</t>
  </si>
  <si>
    <t>If Cells(22, "E") = 0 Then GoTo 16:</t>
  </si>
  <si>
    <t xml:space="preserve"> 9:</t>
  </si>
  <si>
    <t xml:space="preserve"> 11:</t>
  </si>
  <si>
    <t xml:space="preserve"> 13:</t>
  </si>
  <si>
    <t xml:space="preserve"> 14:</t>
  </si>
  <si>
    <t xml:space="preserve"> 3:</t>
  </si>
  <si>
    <t xml:space="preserve"> 4:</t>
  </si>
  <si>
    <t xml:space="preserve"> 5:</t>
  </si>
  <si>
    <t xml:space="preserve"> 6:</t>
  </si>
  <si>
    <t xml:space="preserve"> 7:</t>
  </si>
  <si>
    <t xml:space="preserve"> 8:</t>
  </si>
  <si>
    <t>1a. Fill in today's date (this can also be done by writing =TODAY() in the cell
1b. Start Date in the same format as Today's Date (i.e. when you will start instruction)</t>
  </si>
  <si>
    <t>1c. End Date (i.e. the last day of instruction)</t>
  </si>
  <si>
    <t>1d. "Y" or "N" if you have or have not begun instruction already</t>
  </si>
  <si>
    <t>1e. If you have already begun instruction, enter the last section compelted, Ex. "i.1" or "2.3" in Cell E22.
 If the last thing completed was the midterm, enter: TMT
If the last assignmend completed was an application, written assignment, or test write them as such. Ex: 
     Ch1 Application
     Ch1 Writing Assignment
     Ch1 Test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</si>
</sst>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yy;@"/>
  </numFmts>
  <fonts count="8" x14ac:knownFonts="1">
    <font>
      <sz val="11"/>
      <color theme="1"/>
      <name val="Calibri"/>
      <family val="2"/>
      <scheme val="minor"/>
    </font>
    <font>
      <b/>
      <sz val="11"/>
      <color theme="1"/>
      <name val="Calibri"/>
      <family val="2"/>
      <scheme val="minor"/>
    </font>
    <font>
      <sz val="12"/>
      <color theme="1"/>
      <name val="Calibri"/>
      <family val="2"/>
      <scheme val="minor"/>
    </font>
    <font>
      <b/>
      <sz val="12"/>
      <color theme="1"/>
      <name val="Calibri"/>
      <family val="2"/>
      <scheme val="minor"/>
    </font>
    <font>
      <i/>
      <sz val="11"/>
      <color theme="1"/>
      <name val="Calibri"/>
      <family val="2"/>
      <scheme val="minor"/>
    </font>
    <font>
      <sz val="8"/>
      <name val="Calibri"/>
      <family val="2"/>
      <scheme val="minor"/>
    </font>
    <font>
      <b/>
      <sz val="11"/>
      <color rgb="FFFF0000"/>
      <name val="Calibri"/>
      <family val="2"/>
      <scheme val="minor"/>
    </font>
    <font>
      <sz val="11"/>
      <color rgb="FF000000"/>
      <name val="Calibri"/>
      <family val="2"/>
    </font>
  </fonts>
  <fills count="5">
    <fill>
      <patternFill patternType="none"/>
    </fill>
    <fill>
      <patternFill patternType="gray125"/>
    </fill>
    <fill>
      <patternFill patternType="solid">
        <fgColor rgb="FFFFFF00"/>
        <bgColor indexed="64"/>
      </patternFill>
    </fill>
    <fill>
      <patternFill patternType="solid">
        <fgColor theme="5" tint="0.39997558519241921"/>
        <bgColor indexed="64"/>
      </patternFill>
    </fill>
    <fill>
      <patternFill patternType="solid">
        <fgColor theme="5" tint="0.7999816888943144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bottom style="thin">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1">
    <xf numFmtId="0" fontId="0" fillId="0" borderId="0"/>
  </cellStyleXfs>
  <cellXfs count="52">
    <xf numFmtId="0" fontId="0" fillId="0" borderId="0" xfId="0"/>
    <xf numFmtId="0" fontId="2" fillId="0" borderId="0" xfId="0" applyFont="1"/>
    <xf numFmtId="0" fontId="2" fillId="0" borderId="0" xfId="0" applyFont="1" applyAlignment="1">
      <alignment horizontal="left"/>
    </xf>
    <xf numFmtId="0" fontId="3" fillId="0" borderId="0" xfId="0" applyFont="1"/>
    <xf numFmtId="0" fontId="1" fillId="0" borderId="0" xfId="0" applyFont="1"/>
    <xf numFmtId="0" fontId="0" fillId="0" borderId="0" xfId="0" applyAlignment="1">
      <alignment horizontal="right"/>
    </xf>
    <xf numFmtId="0" fontId="0" fillId="2" borderId="0" xfId="0" applyFill="1"/>
    <xf numFmtId="0" fontId="3" fillId="3" borderId="0" xfId="0" applyFont="1" applyFill="1"/>
    <xf numFmtId="0" fontId="0" fillId="0" borderId="0" xfId="0" applyFill="1"/>
    <xf numFmtId="15" fontId="2" fillId="0" borderId="0" xfId="0" applyNumberFormat="1" applyFont="1" applyAlignment="1">
      <alignment horizontal="left"/>
    </xf>
    <xf numFmtId="15" fontId="0" fillId="0" borderId="0" xfId="0" applyNumberFormat="1"/>
    <xf numFmtId="0" fontId="0" fillId="0" borderId="0" xfId="0" applyAlignment="1">
      <alignment horizontal="left" indent="2"/>
    </xf>
    <xf numFmtId="0" fontId="0" fillId="0" borderId="0" xfId="0" applyFill="1" applyBorder="1"/>
    <xf numFmtId="14" fontId="0" fillId="0" borderId="0" xfId="0" applyNumberFormat="1"/>
    <xf numFmtId="0" fontId="0" fillId="0" borderId="1" xfId="0" applyBorder="1"/>
    <xf numFmtId="14" fontId="0" fillId="0" borderId="1" xfId="0" applyNumberFormat="1" applyBorder="1"/>
    <xf numFmtId="0" fontId="0" fillId="0" borderId="1" xfId="0" applyBorder="1" applyAlignment="1">
      <alignment wrapText="1"/>
    </xf>
    <xf numFmtId="0" fontId="0" fillId="0" borderId="1" xfId="0" applyBorder="1" applyAlignment="1">
      <alignment horizontal="left" indent="3"/>
    </xf>
    <xf numFmtId="0" fontId="0" fillId="0" borderId="3" xfId="0" applyBorder="1"/>
    <xf numFmtId="14" fontId="0" fillId="0" borderId="3" xfId="0" applyNumberFormat="1" applyBorder="1"/>
    <xf numFmtId="0" fontId="3" fillId="4" borderId="2" xfId="0" applyFont="1" applyFill="1" applyBorder="1"/>
    <xf numFmtId="0" fontId="0" fillId="0" borderId="0" xfId="0" applyAlignment="1">
      <alignment horizontal="left" wrapText="1" indent="2"/>
    </xf>
    <xf numFmtId="0" fontId="0" fillId="0" borderId="0" xfId="0" applyAlignment="1">
      <alignment horizontal="center"/>
    </xf>
    <xf numFmtId="0" fontId="0" fillId="0" borderId="1" xfId="0" applyBorder="1" applyAlignment="1">
      <alignment horizontal="right"/>
    </xf>
    <xf numFmtId="0" fontId="0" fillId="0" borderId="1" xfId="0" applyBorder="1" applyAlignment="1">
      <alignment horizontal="left" indent="2"/>
    </xf>
    <xf numFmtId="0" fontId="0" fillId="0" borderId="1" xfId="0" applyBorder="1" applyAlignment="1">
      <alignment horizontal="left" indent="4"/>
    </xf>
    <xf numFmtId="0" fontId="0" fillId="0" borderId="1" xfId="0" applyBorder="1" applyAlignment="1">
      <alignment horizontal="left" wrapText="1" indent="2"/>
    </xf>
    <xf numFmtId="0" fontId="0" fillId="0" borderId="3" xfId="0" applyBorder="1" applyAlignment="1">
      <alignment horizontal="left" indent="2"/>
    </xf>
    <xf numFmtId="0" fontId="1" fillId="0" borderId="1" xfId="0" applyFont="1" applyBorder="1" applyAlignment="1">
      <alignment horizontal="center"/>
    </xf>
    <xf numFmtId="0" fontId="3" fillId="4" borderId="2" xfId="0" applyFont="1" applyFill="1" applyBorder="1" applyAlignment="1">
      <alignment horizontal="center"/>
    </xf>
    <xf numFmtId="49" fontId="0" fillId="0" borderId="1" xfId="0" applyNumberFormat="1" applyBorder="1" applyAlignment="1">
      <alignment horizontal="center"/>
    </xf>
    <xf numFmtId="164" fontId="0" fillId="2" borderId="1" xfId="0" applyNumberFormat="1" applyFill="1" applyBorder="1"/>
    <xf numFmtId="0" fontId="0" fillId="0" borderId="4" xfId="0" applyFill="1" applyBorder="1"/>
    <xf numFmtId="0" fontId="0" fillId="0" borderId="4" xfId="0" applyBorder="1"/>
    <xf numFmtId="0" fontId="0" fillId="0" borderId="0" xfId="0" applyBorder="1" applyAlignment="1">
      <alignment horizontal="center"/>
    </xf>
    <xf numFmtId="0" fontId="0" fillId="0" borderId="1" xfId="0" applyFill="1" applyBorder="1"/>
    <xf numFmtId="49" fontId="0" fillId="2" borderId="1" xfId="0" applyNumberFormat="1" applyFill="1" applyBorder="1" applyAlignment="1">
      <alignment horizontal="center"/>
    </xf>
    <xf numFmtId="164" fontId="0" fillId="0" borderId="0" xfId="0" applyNumberFormat="1"/>
    <xf numFmtId="0" fontId="0" fillId="0" borderId="1" xfId="0" applyBorder="1" applyAlignment="1">
      <alignment horizontal="left" vertical="top" wrapText="1" indent="4"/>
    </xf>
    <xf numFmtId="0" fontId="0" fillId="0" borderId="0" xfId="0" applyFill="1" applyBorder="1" applyAlignment="1">
      <alignment horizontal="center"/>
    </xf>
    <xf numFmtId="0" fontId="4" fillId="0" borderId="0" xfId="0" applyFont="1" applyAlignment="1">
      <alignment horizontal="left" vertical="top" wrapText="1"/>
    </xf>
    <xf numFmtId="0" fontId="3" fillId="4" borderId="5" xfId="0" applyFont="1" applyFill="1" applyBorder="1" applyAlignment="1">
      <alignment horizontal="center"/>
    </xf>
    <xf numFmtId="0" fontId="3" fillId="4" borderId="2" xfId="0" applyFont="1" applyFill="1" applyBorder="1" applyAlignment="1">
      <alignment horizontal="center"/>
    </xf>
    <xf numFmtId="0" fontId="6" fillId="0" borderId="3" xfId="0" applyFont="1" applyBorder="1" applyAlignment="1">
      <alignment horizontal="center"/>
    </xf>
    <xf numFmtId="0" fontId="1" fillId="4" borderId="2" xfId="0" applyFont="1" applyFill="1" applyBorder="1" applyAlignment="1">
      <alignment horizontal="left"/>
    </xf>
    <xf numFmtId="20" fontId="0" fillId="0" borderId="0" xfId="0" applyNumberFormat="1"/>
    <xf numFmtId="0" fontId="0" fillId="0" borderId="3" xfId="0" applyBorder="1" applyAlignment="1">
      <alignment horizontal="left" wrapText="1" indent="2"/>
    </xf>
    <xf numFmtId="0" fontId="1" fillId="4" borderId="2" xfId="0" applyFont="1" applyFill="1" applyBorder="1"/>
    <xf numFmtId="0" fontId="2" fillId="0" borderId="0" xfId="0" applyFont="1" applyAlignment="1">
      <alignment horizontal="right" wrapText="1"/>
    </xf>
    <xf numFmtId="0" fontId="0" fillId="0" borderId="6" xfId="0" applyFill="1" applyBorder="1" applyAlignment="1">
      <alignment horizontal="left" wrapText="1" indent="2"/>
    </xf>
    <xf numFmtId="0" fontId="0" fillId="0" borderId="1" xfId="0" applyFill="1" applyBorder="1" applyAlignment="1">
      <alignment horizontal="left" wrapText="1" indent="2"/>
    </xf>
    <xf numFmtId="0" fontId="0" fillId="0" borderId="1" xfId="0" applyBorder="1" applyAlignment="1">
      <alignment horizontal="left" wrapText="1" indent="4"/>
    </xf>
  </cellXfs>
  <cellStyles count="1">
    <cellStyle name="Normal" xfId="0" builtinId="0"/>
  </cellStyles>
  <dxfs count="4">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647700</xdr:colOff>
          <xdr:row>1</xdr:row>
          <xdr:rowOff>85725</xdr:rowOff>
        </xdr:from>
        <xdr:to>
          <xdr:col>3</xdr:col>
          <xdr:colOff>1562100</xdr:colOff>
          <xdr:row>1</xdr:row>
          <xdr:rowOff>771525</xdr:rowOff>
        </xdr:to>
        <xdr:sp macro="" textlink="">
          <xdr:nvSpPr>
            <xdr:cNvPr id="1026" name="Object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247650</xdr:colOff>
          <xdr:row>15</xdr:row>
          <xdr:rowOff>85725</xdr:rowOff>
        </xdr:from>
        <xdr:to>
          <xdr:col>3</xdr:col>
          <xdr:colOff>5153025</xdr:colOff>
          <xdr:row>15</xdr:row>
          <xdr:rowOff>523875</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Generate Course Study Plan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image" Target="../media/image1.emf"/><Relationship Id="rId4" Type="http://schemas.openxmlformats.org/officeDocument/2006/relationships/oleObject" Target="../embeddings/oleObject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DFC16D-F0A2-4CBD-90D1-10F32377574A}">
  <sheetPr codeName="Sheet1"/>
  <dimension ref="A1:B21"/>
  <sheetViews>
    <sheetView tabSelected="1" workbookViewId="0">
      <selection activeCell="E15" sqref="E15"/>
    </sheetView>
  </sheetViews>
  <sheetFormatPr defaultRowHeight="15" x14ac:dyDescent="0.25"/>
  <cols>
    <col min="1" max="1" width="20.5703125" customWidth="1"/>
    <col min="2" max="2" width="76.7109375" customWidth="1"/>
  </cols>
  <sheetData>
    <row r="1" spans="1:2" ht="15.75" x14ac:dyDescent="0.25">
      <c r="A1" s="3" t="s">
        <v>10</v>
      </c>
      <c r="B1" s="2" t="s">
        <v>11</v>
      </c>
    </row>
    <row r="2" spans="1:2" ht="15.75" x14ac:dyDescent="0.25">
      <c r="A2" s="3" t="s">
        <v>0</v>
      </c>
      <c r="B2" s="1" t="s">
        <v>1</v>
      </c>
    </row>
    <row r="3" spans="1:2" ht="15.75" x14ac:dyDescent="0.25">
      <c r="A3" s="3" t="s">
        <v>2</v>
      </c>
      <c r="B3" s="2" t="s">
        <v>12</v>
      </c>
    </row>
    <row r="4" spans="1:2" ht="15.75" x14ac:dyDescent="0.25">
      <c r="A4" s="3" t="s">
        <v>9</v>
      </c>
      <c r="B4" s="9">
        <v>44171</v>
      </c>
    </row>
    <row r="5" spans="1:2" x14ac:dyDescent="0.25">
      <c r="A5" s="4" t="s">
        <v>3</v>
      </c>
    </row>
    <row r="6" spans="1:2" ht="31.5" x14ac:dyDescent="0.25">
      <c r="A6" s="48" t="s">
        <v>12</v>
      </c>
    </row>
    <row r="7" spans="1:2" x14ac:dyDescent="0.25">
      <c r="A7" s="5"/>
      <c r="B7" s="8" t="s">
        <v>13</v>
      </c>
    </row>
    <row r="8" spans="1:2" x14ac:dyDescent="0.25">
      <c r="A8" s="5"/>
      <c r="B8" s="8"/>
    </row>
    <row r="9" spans="1:2" ht="34.5" customHeight="1" x14ac:dyDescent="0.25">
      <c r="A9" s="40" t="s">
        <v>5</v>
      </c>
      <c r="B9" s="40"/>
    </row>
    <row r="11" spans="1:2" ht="15.75" thickBot="1" x14ac:dyDescent="0.3">
      <c r="B11" s="47" t="s">
        <v>346</v>
      </c>
    </row>
    <row r="12" spans="1:2" ht="15.75" thickTop="1" x14ac:dyDescent="0.25">
      <c r="B12" s="46" t="s">
        <v>343</v>
      </c>
    </row>
    <row r="13" spans="1:2" ht="30" x14ac:dyDescent="0.25">
      <c r="B13" s="26" t="s">
        <v>344</v>
      </c>
    </row>
    <row r="14" spans="1:2" ht="30" x14ac:dyDescent="0.25">
      <c r="B14" s="26" t="s">
        <v>345</v>
      </c>
    </row>
    <row r="15" spans="1:2" ht="75" x14ac:dyDescent="0.25">
      <c r="B15" s="26" t="s">
        <v>347</v>
      </c>
    </row>
    <row r="16" spans="1:2" ht="45" x14ac:dyDescent="0.25">
      <c r="B16" s="49" t="s">
        <v>348</v>
      </c>
    </row>
    <row r="17" spans="2:2" ht="45" x14ac:dyDescent="0.25">
      <c r="B17" s="50" t="s">
        <v>349</v>
      </c>
    </row>
    <row r="21" spans="2:2" x14ac:dyDescent="0.25">
      <c r="B21" t="s">
        <v>4</v>
      </c>
    </row>
  </sheetData>
  <mergeCells count="1">
    <mergeCell ref="A9:B9"/>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F535B1-2E4B-498E-BC16-D7F9488E2E96}">
  <sheetPr codeName="Sheet2"/>
  <dimension ref="A1:L160"/>
  <sheetViews>
    <sheetView topLeftCell="D4" workbookViewId="0">
      <selection activeCell="J10" sqref="J10"/>
    </sheetView>
  </sheetViews>
  <sheetFormatPr defaultRowHeight="15" x14ac:dyDescent="0.25"/>
  <cols>
    <col min="1" max="1" width="11.5703125" hidden="1" customWidth="1"/>
    <col min="2" max="2" width="19.28515625" hidden="1" customWidth="1"/>
    <col min="3" max="3" width="13" hidden="1" customWidth="1"/>
    <col min="4" max="4" width="82.140625" customWidth="1"/>
    <col min="5" max="5" width="23" customWidth="1"/>
    <col min="6" max="6" width="3.7109375" customWidth="1"/>
    <col min="7" max="7" width="23.7109375" style="22" customWidth="1"/>
    <col min="8" max="8" width="19.140625" customWidth="1"/>
    <col min="9" max="10" width="3.7109375" customWidth="1"/>
    <col min="12" max="12" width="15.7109375" customWidth="1"/>
  </cols>
  <sheetData>
    <row r="1" spans="4:4" x14ac:dyDescent="0.25">
      <c r="D1" s="4" t="s">
        <v>7</v>
      </c>
    </row>
    <row r="2" spans="4:4" ht="70.5" customHeight="1" x14ac:dyDescent="0.25"/>
    <row r="3" spans="4:4" x14ac:dyDescent="0.25">
      <c r="D3" s="11" t="s">
        <v>14</v>
      </c>
    </row>
    <row r="4" spans="4:4" x14ac:dyDescent="0.25">
      <c r="D4" s="4" t="s">
        <v>8</v>
      </c>
    </row>
    <row r="5" spans="4:4" ht="16.5" thickBot="1" x14ac:dyDescent="0.3">
      <c r="D5" s="20" t="s">
        <v>49</v>
      </c>
    </row>
    <row r="6" spans="4:4" ht="15.75" thickTop="1" x14ac:dyDescent="0.25">
      <c r="D6" s="27" t="s">
        <v>40</v>
      </c>
    </row>
    <row r="7" spans="4:4" ht="32.25" customHeight="1" x14ac:dyDescent="0.25">
      <c r="D7" s="51" t="s">
        <v>365</v>
      </c>
    </row>
    <row r="8" spans="4:4" x14ac:dyDescent="0.25">
      <c r="D8" s="25" t="s">
        <v>366</v>
      </c>
    </row>
    <row r="9" spans="4:4" x14ac:dyDescent="0.25">
      <c r="D9" s="25" t="s">
        <v>367</v>
      </c>
    </row>
    <row r="10" spans="4:4" ht="123" customHeight="1" x14ac:dyDescent="0.25">
      <c r="D10" s="38" t="s">
        <v>368</v>
      </c>
    </row>
    <row r="11" spans="4:4" x14ac:dyDescent="0.25">
      <c r="D11" s="24" t="s">
        <v>41</v>
      </c>
    </row>
    <row r="12" spans="4:4" x14ac:dyDescent="0.25">
      <c r="D12" s="25" t="s">
        <v>42</v>
      </c>
    </row>
    <row r="13" spans="4:4" x14ac:dyDescent="0.25">
      <c r="D13" s="24" t="s">
        <v>47</v>
      </c>
    </row>
    <row r="14" spans="4:4" x14ac:dyDescent="0.25">
      <c r="D14" s="24" t="s">
        <v>45</v>
      </c>
    </row>
    <row r="15" spans="4:4" ht="48" customHeight="1" x14ac:dyDescent="0.25">
      <c r="D15" s="26" t="s">
        <v>46</v>
      </c>
    </row>
    <row r="16" spans="4:4" ht="54.75" customHeight="1" x14ac:dyDescent="0.25">
      <c r="D16" s="21"/>
    </row>
    <row r="17" spans="1:12" ht="16.5" thickBot="1" x14ac:dyDescent="0.3">
      <c r="D17" s="20" t="s">
        <v>44</v>
      </c>
      <c r="E17" s="20" t="s">
        <v>102</v>
      </c>
      <c r="G17" s="29" t="s">
        <v>51</v>
      </c>
      <c r="H17" s="29" t="s">
        <v>9</v>
      </c>
      <c r="J17" s="44" t="s">
        <v>52</v>
      </c>
      <c r="K17" s="44"/>
      <c r="L17" s="44"/>
    </row>
    <row r="18" spans="1:12" ht="15.75" thickTop="1" x14ac:dyDescent="0.25">
      <c r="D18" s="18" t="s">
        <v>43</v>
      </c>
      <c r="E18" s="31"/>
      <c r="G18" s="30"/>
      <c r="H18" s="15"/>
      <c r="K18" s="18" t="s">
        <v>53</v>
      </c>
      <c r="L18" s="18" t="s">
        <v>57</v>
      </c>
    </row>
    <row r="19" spans="1:12" x14ac:dyDescent="0.25">
      <c r="D19" s="14" t="s">
        <v>61</v>
      </c>
      <c r="E19" s="31"/>
      <c r="G19" s="30"/>
      <c r="H19" s="15"/>
      <c r="K19" s="14" t="s">
        <v>54</v>
      </c>
      <c r="L19" s="14" t="s">
        <v>58</v>
      </c>
    </row>
    <row r="20" spans="1:12" x14ac:dyDescent="0.25">
      <c r="D20" s="14" t="s">
        <v>62</v>
      </c>
      <c r="E20" s="31"/>
      <c r="G20" s="30"/>
      <c r="H20" s="15"/>
      <c r="K20" s="14" t="s">
        <v>55</v>
      </c>
      <c r="L20" s="14" t="s">
        <v>59</v>
      </c>
    </row>
    <row r="21" spans="1:12" x14ac:dyDescent="0.25">
      <c r="D21" s="14" t="s">
        <v>67</v>
      </c>
      <c r="E21" s="36"/>
      <c r="G21" s="30"/>
      <c r="H21" s="15"/>
      <c r="K21" s="14" t="s">
        <v>56</v>
      </c>
      <c r="L21" s="14" t="s">
        <v>60</v>
      </c>
    </row>
    <row r="22" spans="1:12" x14ac:dyDescent="0.25">
      <c r="D22" s="16" t="s">
        <v>101</v>
      </c>
      <c r="E22" s="36"/>
      <c r="G22" s="30"/>
      <c r="H22" s="15"/>
      <c r="K22" s="35" t="s">
        <v>16</v>
      </c>
      <c r="L22" s="35" t="s">
        <v>63</v>
      </c>
    </row>
    <row r="23" spans="1:12" x14ac:dyDescent="0.25">
      <c r="D23" s="17" t="s">
        <v>39</v>
      </c>
      <c r="G23" s="30"/>
      <c r="H23" s="15"/>
      <c r="K23" s="35" t="s">
        <v>17</v>
      </c>
      <c r="L23" s="35" t="s">
        <v>64</v>
      </c>
    </row>
    <row r="24" spans="1:12" x14ac:dyDescent="0.25">
      <c r="D24" s="17" t="s">
        <v>35</v>
      </c>
      <c r="G24" s="30"/>
      <c r="H24" s="15"/>
    </row>
    <row r="25" spans="1:12" x14ac:dyDescent="0.25">
      <c r="A25" s="12"/>
      <c r="B25" s="12"/>
      <c r="C25" s="12"/>
      <c r="D25" s="12"/>
      <c r="G25" s="30"/>
      <c r="H25" s="15"/>
    </row>
    <row r="26" spans="1:12" ht="16.5" thickBot="1" x14ac:dyDescent="0.3">
      <c r="A26" s="42" t="s">
        <v>50</v>
      </c>
      <c r="B26" s="42"/>
      <c r="C26" s="42"/>
      <c r="D26" s="5"/>
      <c r="E26" s="37"/>
      <c r="G26" s="30"/>
      <c r="H26" s="15"/>
    </row>
    <row r="27" spans="1:12" ht="15.75" thickTop="1" x14ac:dyDescent="0.25">
      <c r="A27" s="43" t="s">
        <v>48</v>
      </c>
      <c r="B27" s="43"/>
      <c r="C27" s="43"/>
      <c r="G27" s="30"/>
      <c r="H27" s="15"/>
    </row>
    <row r="28" spans="1:12" x14ac:dyDescent="0.25">
      <c r="A28" s="28" t="s">
        <v>18</v>
      </c>
      <c r="B28" s="28" t="s">
        <v>19</v>
      </c>
      <c r="C28" s="28" t="s">
        <v>20</v>
      </c>
      <c r="G28" s="30"/>
      <c r="H28" s="15"/>
    </row>
    <row r="29" spans="1:12" x14ac:dyDescent="0.25">
      <c r="A29" s="23" t="s">
        <v>15</v>
      </c>
      <c r="B29" s="23" t="s">
        <v>16</v>
      </c>
      <c r="C29" s="14">
        <v>1</v>
      </c>
      <c r="G29" s="30"/>
      <c r="H29" s="15"/>
    </row>
    <row r="30" spans="1:12" x14ac:dyDescent="0.25">
      <c r="A30" s="23" t="s">
        <v>15</v>
      </c>
      <c r="B30" s="23" t="s">
        <v>17</v>
      </c>
      <c r="C30" s="14">
        <v>2</v>
      </c>
      <c r="G30" s="30"/>
      <c r="H30" s="15"/>
    </row>
    <row r="31" spans="1:12" x14ac:dyDescent="0.25">
      <c r="A31" s="14">
        <v>1</v>
      </c>
      <c r="B31" s="14">
        <v>1.1000000000000001</v>
      </c>
      <c r="C31" s="14">
        <v>3</v>
      </c>
      <c r="G31" s="30"/>
      <c r="H31" s="15"/>
    </row>
    <row r="32" spans="1:12" x14ac:dyDescent="0.25">
      <c r="A32" s="14">
        <v>1</v>
      </c>
      <c r="B32" s="14">
        <v>1.2</v>
      </c>
      <c r="C32" s="14">
        <v>4</v>
      </c>
      <c r="G32" s="30"/>
      <c r="H32" s="15"/>
    </row>
    <row r="33" spans="1:8" x14ac:dyDescent="0.25">
      <c r="A33" s="14">
        <v>1</v>
      </c>
      <c r="B33" s="14">
        <v>1.3</v>
      </c>
      <c r="C33" s="14">
        <v>5</v>
      </c>
      <c r="G33" s="30"/>
      <c r="H33" s="15"/>
    </row>
    <row r="34" spans="1:8" x14ac:dyDescent="0.25">
      <c r="A34" s="14">
        <v>1</v>
      </c>
      <c r="B34" s="14">
        <v>1.4</v>
      </c>
      <c r="C34" s="14">
        <v>6</v>
      </c>
      <c r="G34" s="30"/>
      <c r="H34" s="15"/>
    </row>
    <row r="35" spans="1:8" x14ac:dyDescent="0.25">
      <c r="A35" s="14">
        <v>1</v>
      </c>
      <c r="B35" s="23" t="s">
        <v>68</v>
      </c>
      <c r="C35" s="14">
        <v>7</v>
      </c>
      <c r="G35" s="30"/>
      <c r="H35" s="15"/>
    </row>
    <row r="36" spans="1:8" x14ac:dyDescent="0.25">
      <c r="A36" s="14">
        <v>1</v>
      </c>
      <c r="B36" s="23" t="s">
        <v>69</v>
      </c>
      <c r="C36" s="14">
        <v>8</v>
      </c>
      <c r="G36" s="30"/>
      <c r="H36" s="15"/>
    </row>
    <row r="37" spans="1:8" x14ac:dyDescent="0.25">
      <c r="A37" s="14">
        <v>1</v>
      </c>
      <c r="B37" s="23" t="s">
        <v>70</v>
      </c>
      <c r="C37" s="14">
        <v>9</v>
      </c>
      <c r="G37" s="30"/>
      <c r="H37" s="15"/>
    </row>
    <row r="38" spans="1:8" x14ac:dyDescent="0.25">
      <c r="A38" s="14">
        <v>2</v>
      </c>
      <c r="B38" s="14">
        <v>2.1</v>
      </c>
      <c r="C38" s="14">
        <v>10</v>
      </c>
      <c r="G38" s="30"/>
      <c r="H38" s="15"/>
    </row>
    <row r="39" spans="1:8" x14ac:dyDescent="0.25">
      <c r="A39" s="14">
        <v>2</v>
      </c>
      <c r="B39" s="14">
        <v>2.2000000000000002</v>
      </c>
      <c r="C39" s="14">
        <v>11</v>
      </c>
      <c r="G39" s="30"/>
      <c r="H39" s="15"/>
    </row>
    <row r="40" spans="1:8" x14ac:dyDescent="0.25">
      <c r="A40" s="14">
        <v>2</v>
      </c>
      <c r="B40" s="14">
        <v>2.2999999999999998</v>
      </c>
      <c r="C40" s="14">
        <v>12</v>
      </c>
      <c r="G40" s="30"/>
      <c r="H40" s="15"/>
    </row>
    <row r="41" spans="1:8" x14ac:dyDescent="0.25">
      <c r="A41" s="14">
        <v>2</v>
      </c>
      <c r="B41" s="14">
        <v>2.4</v>
      </c>
      <c r="C41" s="14">
        <v>13</v>
      </c>
      <c r="G41" s="30"/>
      <c r="H41" s="15"/>
    </row>
    <row r="42" spans="1:8" x14ac:dyDescent="0.25">
      <c r="A42" s="14">
        <v>2</v>
      </c>
      <c r="B42" s="23" t="s">
        <v>71</v>
      </c>
      <c r="C42" s="14">
        <v>14</v>
      </c>
      <c r="G42" s="30"/>
      <c r="H42" s="15"/>
    </row>
    <row r="43" spans="1:8" x14ac:dyDescent="0.25">
      <c r="A43" s="14">
        <v>2</v>
      </c>
      <c r="B43" s="23" t="s">
        <v>72</v>
      </c>
      <c r="C43" s="14">
        <v>15</v>
      </c>
      <c r="G43" s="30"/>
      <c r="H43" s="15"/>
    </row>
    <row r="44" spans="1:8" x14ac:dyDescent="0.25">
      <c r="A44" s="14">
        <v>2</v>
      </c>
      <c r="B44" s="23" t="s">
        <v>73</v>
      </c>
      <c r="C44" s="14">
        <v>16</v>
      </c>
      <c r="G44" s="30"/>
      <c r="H44" s="15"/>
    </row>
    <row r="45" spans="1:8" x14ac:dyDescent="0.25">
      <c r="A45" s="14">
        <v>3</v>
      </c>
      <c r="B45" s="14">
        <v>3.1</v>
      </c>
      <c r="C45" s="14">
        <v>17</v>
      </c>
      <c r="G45" s="30"/>
      <c r="H45" s="15"/>
    </row>
    <row r="46" spans="1:8" x14ac:dyDescent="0.25">
      <c r="A46" s="14">
        <v>3</v>
      </c>
      <c r="B46" s="14">
        <v>3.2</v>
      </c>
      <c r="C46" s="14">
        <v>18</v>
      </c>
      <c r="G46" s="30"/>
      <c r="H46" s="15"/>
    </row>
    <row r="47" spans="1:8" x14ac:dyDescent="0.25">
      <c r="A47" s="14">
        <v>3</v>
      </c>
      <c r="B47" s="14">
        <v>3.3</v>
      </c>
      <c r="C47" s="14">
        <v>19</v>
      </c>
      <c r="G47" s="30"/>
      <c r="H47" s="15"/>
    </row>
    <row r="48" spans="1:8" x14ac:dyDescent="0.25">
      <c r="A48" s="14">
        <v>3</v>
      </c>
      <c r="B48" s="14">
        <v>3.4</v>
      </c>
      <c r="C48" s="14">
        <v>20</v>
      </c>
      <c r="G48" s="30"/>
      <c r="H48" s="15"/>
    </row>
    <row r="49" spans="1:8" x14ac:dyDescent="0.25">
      <c r="A49" s="14">
        <v>3</v>
      </c>
      <c r="B49" s="14">
        <v>3.5</v>
      </c>
      <c r="C49" s="14">
        <v>21</v>
      </c>
      <c r="G49" s="30"/>
      <c r="H49" s="15"/>
    </row>
    <row r="50" spans="1:8" x14ac:dyDescent="0.25">
      <c r="A50" s="14">
        <v>3</v>
      </c>
      <c r="B50" s="14">
        <v>3.6</v>
      </c>
      <c r="C50" s="14">
        <v>22</v>
      </c>
      <c r="G50" s="30"/>
      <c r="H50" s="15"/>
    </row>
    <row r="51" spans="1:8" x14ac:dyDescent="0.25">
      <c r="A51" s="14">
        <v>3</v>
      </c>
      <c r="B51" s="23" t="s">
        <v>74</v>
      </c>
      <c r="C51" s="14">
        <v>23</v>
      </c>
      <c r="G51" s="30"/>
      <c r="H51" s="15"/>
    </row>
    <row r="52" spans="1:8" x14ac:dyDescent="0.25">
      <c r="A52" s="14">
        <v>3</v>
      </c>
      <c r="B52" s="23" t="s">
        <v>75</v>
      </c>
      <c r="C52" s="14">
        <v>24</v>
      </c>
      <c r="G52" s="30"/>
      <c r="H52" s="15"/>
    </row>
    <row r="53" spans="1:8" x14ac:dyDescent="0.25">
      <c r="A53" s="14">
        <v>3</v>
      </c>
      <c r="B53" s="23" t="s">
        <v>76</v>
      </c>
      <c r="C53" s="14">
        <v>25</v>
      </c>
      <c r="G53" s="30"/>
      <c r="H53" s="15"/>
    </row>
    <row r="54" spans="1:8" x14ac:dyDescent="0.25">
      <c r="A54" s="14">
        <v>4</v>
      </c>
      <c r="B54" s="14">
        <v>4.0999999999999996</v>
      </c>
      <c r="C54" s="14">
        <v>26</v>
      </c>
      <c r="G54" s="30"/>
      <c r="H54" s="15"/>
    </row>
    <row r="55" spans="1:8" x14ac:dyDescent="0.25">
      <c r="A55" s="14">
        <v>4</v>
      </c>
      <c r="B55" s="14">
        <v>4.2</v>
      </c>
      <c r="C55" s="14">
        <v>27</v>
      </c>
      <c r="G55" s="30"/>
      <c r="H55" s="15"/>
    </row>
    <row r="56" spans="1:8" x14ac:dyDescent="0.25">
      <c r="A56" s="14">
        <v>4</v>
      </c>
      <c r="B56" s="14">
        <v>4.3</v>
      </c>
      <c r="C56" s="14">
        <v>28</v>
      </c>
      <c r="G56" s="30"/>
      <c r="H56" s="15"/>
    </row>
    <row r="57" spans="1:8" x14ac:dyDescent="0.25">
      <c r="A57" s="14">
        <v>4</v>
      </c>
      <c r="B57" s="14">
        <v>4.4000000000000004</v>
      </c>
      <c r="C57" s="14">
        <v>29</v>
      </c>
      <c r="G57" s="30"/>
      <c r="H57" s="15"/>
    </row>
    <row r="58" spans="1:8" x14ac:dyDescent="0.25">
      <c r="A58" s="14">
        <v>4</v>
      </c>
      <c r="B58" s="14">
        <v>4.5</v>
      </c>
      <c r="C58" s="14">
        <v>30</v>
      </c>
      <c r="G58" s="30"/>
      <c r="H58" s="15"/>
    </row>
    <row r="59" spans="1:8" x14ac:dyDescent="0.25">
      <c r="A59" s="14">
        <v>4</v>
      </c>
      <c r="B59" s="14">
        <v>4.5999999999999996</v>
      </c>
      <c r="C59" s="14">
        <v>31</v>
      </c>
      <c r="G59" s="30"/>
      <c r="H59" s="15"/>
    </row>
    <row r="60" spans="1:8" x14ac:dyDescent="0.25">
      <c r="A60" s="14">
        <v>4</v>
      </c>
      <c r="B60" s="14">
        <v>4.7</v>
      </c>
      <c r="C60" s="14">
        <v>32</v>
      </c>
      <c r="G60" s="30"/>
      <c r="H60" s="15"/>
    </row>
    <row r="61" spans="1:8" x14ac:dyDescent="0.25">
      <c r="A61" s="14">
        <v>4</v>
      </c>
      <c r="B61" s="14">
        <v>4.8</v>
      </c>
      <c r="C61" s="14">
        <v>33</v>
      </c>
      <c r="G61" s="30"/>
      <c r="H61" s="15"/>
    </row>
    <row r="62" spans="1:8" x14ac:dyDescent="0.25">
      <c r="A62" s="14">
        <v>4</v>
      </c>
      <c r="B62" s="14">
        <v>4.9000000000000004</v>
      </c>
      <c r="C62" s="14">
        <v>34</v>
      </c>
      <c r="G62" s="30"/>
      <c r="H62" s="15"/>
    </row>
    <row r="63" spans="1:8" x14ac:dyDescent="0.25">
      <c r="A63" s="14">
        <v>4</v>
      </c>
      <c r="B63" s="23" t="s">
        <v>77</v>
      </c>
      <c r="C63" s="14">
        <v>35</v>
      </c>
      <c r="G63" s="30"/>
      <c r="H63" s="15"/>
    </row>
    <row r="64" spans="1:8" x14ac:dyDescent="0.25">
      <c r="A64" s="14">
        <v>4</v>
      </c>
      <c r="B64" s="23" t="s">
        <v>78</v>
      </c>
      <c r="C64" s="14">
        <v>36</v>
      </c>
      <c r="G64" s="30"/>
      <c r="H64" s="15"/>
    </row>
    <row r="65" spans="1:8" x14ac:dyDescent="0.25">
      <c r="A65" s="14">
        <v>4</v>
      </c>
      <c r="B65" s="23" t="s">
        <v>79</v>
      </c>
      <c r="C65" s="14">
        <v>37</v>
      </c>
      <c r="G65" s="30"/>
      <c r="H65" s="15"/>
    </row>
    <row r="66" spans="1:8" x14ac:dyDescent="0.25">
      <c r="A66" s="14">
        <v>5</v>
      </c>
      <c r="B66" s="14">
        <v>5.0999999999999996</v>
      </c>
      <c r="C66" s="14">
        <v>38</v>
      </c>
      <c r="G66" s="30"/>
      <c r="H66" s="15"/>
    </row>
    <row r="67" spans="1:8" x14ac:dyDescent="0.25">
      <c r="A67" s="14">
        <v>5</v>
      </c>
      <c r="B67" s="14">
        <v>5.2</v>
      </c>
      <c r="C67" s="14">
        <v>39</v>
      </c>
      <c r="G67" s="30"/>
      <c r="H67" s="15"/>
    </row>
    <row r="68" spans="1:8" x14ac:dyDescent="0.25">
      <c r="A68" s="14">
        <v>5</v>
      </c>
      <c r="B68" s="14">
        <v>5.3</v>
      </c>
      <c r="C68" s="14">
        <v>40</v>
      </c>
      <c r="G68" s="30"/>
      <c r="H68" s="15"/>
    </row>
    <row r="69" spans="1:8" x14ac:dyDescent="0.25">
      <c r="A69" s="14">
        <v>5</v>
      </c>
      <c r="B69" s="14">
        <v>5.4</v>
      </c>
      <c r="C69" s="14">
        <v>41</v>
      </c>
      <c r="G69" s="30"/>
      <c r="H69" s="15"/>
    </row>
    <row r="70" spans="1:8" x14ac:dyDescent="0.25">
      <c r="A70" s="14">
        <v>5</v>
      </c>
      <c r="B70" s="14">
        <v>5.5</v>
      </c>
      <c r="C70" s="14">
        <v>42</v>
      </c>
      <c r="G70" s="30"/>
      <c r="H70" s="15"/>
    </row>
    <row r="71" spans="1:8" x14ac:dyDescent="0.25">
      <c r="A71" s="14">
        <v>5</v>
      </c>
      <c r="B71" s="14">
        <v>5.6</v>
      </c>
      <c r="C71" s="14">
        <v>43</v>
      </c>
      <c r="G71" s="30"/>
      <c r="H71" s="15"/>
    </row>
    <row r="72" spans="1:8" x14ac:dyDescent="0.25">
      <c r="A72" s="14">
        <v>5</v>
      </c>
      <c r="B72" s="23" t="s">
        <v>80</v>
      </c>
      <c r="C72" s="14">
        <v>44</v>
      </c>
      <c r="G72" s="30"/>
      <c r="H72" s="15"/>
    </row>
    <row r="73" spans="1:8" x14ac:dyDescent="0.25">
      <c r="A73" s="14">
        <v>5</v>
      </c>
      <c r="B73" s="23" t="s">
        <v>81</v>
      </c>
      <c r="C73" s="14">
        <v>45</v>
      </c>
      <c r="G73" s="30"/>
      <c r="H73" s="15"/>
    </row>
    <row r="74" spans="1:8" x14ac:dyDescent="0.25">
      <c r="A74" s="14">
        <v>5</v>
      </c>
      <c r="B74" s="23" t="s">
        <v>82</v>
      </c>
      <c r="C74" s="14">
        <v>46</v>
      </c>
      <c r="E74" s="8"/>
      <c r="G74" s="30"/>
      <c r="H74" s="15"/>
    </row>
    <row r="75" spans="1:8" x14ac:dyDescent="0.25">
      <c r="A75" s="14">
        <v>6</v>
      </c>
      <c r="B75" s="14">
        <v>6.1</v>
      </c>
      <c r="C75" s="14">
        <v>47</v>
      </c>
      <c r="E75" s="8"/>
      <c r="G75" s="30"/>
      <c r="H75" s="15"/>
    </row>
    <row r="76" spans="1:8" x14ac:dyDescent="0.25">
      <c r="A76" s="14">
        <v>6</v>
      </c>
      <c r="B76" s="14">
        <v>6.2</v>
      </c>
      <c r="C76" s="14">
        <v>48</v>
      </c>
      <c r="E76" s="8"/>
      <c r="G76" s="30"/>
      <c r="H76" s="15"/>
    </row>
    <row r="77" spans="1:8" x14ac:dyDescent="0.25">
      <c r="A77" s="14">
        <v>6</v>
      </c>
      <c r="B77" s="14">
        <v>6.3</v>
      </c>
      <c r="C77" s="14">
        <v>49</v>
      </c>
      <c r="E77" s="8"/>
      <c r="G77" s="30"/>
      <c r="H77" s="15"/>
    </row>
    <row r="78" spans="1:8" x14ac:dyDescent="0.25">
      <c r="A78" s="14">
        <v>6</v>
      </c>
      <c r="B78" s="14">
        <v>6.4</v>
      </c>
      <c r="C78" s="14">
        <v>50</v>
      </c>
      <c r="E78" s="8"/>
      <c r="G78" s="30"/>
      <c r="H78" s="15"/>
    </row>
    <row r="79" spans="1:8" x14ac:dyDescent="0.25">
      <c r="A79" s="14">
        <v>6</v>
      </c>
      <c r="B79" s="14">
        <v>6.5</v>
      </c>
      <c r="C79" s="14">
        <v>51</v>
      </c>
      <c r="E79" s="8"/>
      <c r="G79" s="30"/>
      <c r="H79" s="15"/>
    </row>
    <row r="80" spans="1:8" x14ac:dyDescent="0.25">
      <c r="A80" s="14">
        <v>6</v>
      </c>
      <c r="B80" s="14">
        <v>6.6</v>
      </c>
      <c r="C80" s="14">
        <v>52</v>
      </c>
      <c r="E80" s="8"/>
      <c r="G80" s="30"/>
      <c r="H80" s="15"/>
    </row>
    <row r="81" spans="1:8" x14ac:dyDescent="0.25">
      <c r="A81" s="14">
        <v>6</v>
      </c>
      <c r="B81" s="14">
        <v>6.7</v>
      </c>
      <c r="C81" s="14">
        <v>53</v>
      </c>
      <c r="E81" s="8"/>
      <c r="G81" s="30"/>
      <c r="H81" s="15"/>
    </row>
    <row r="82" spans="1:8" x14ac:dyDescent="0.25">
      <c r="A82" s="14">
        <v>6</v>
      </c>
      <c r="B82" s="23" t="s">
        <v>83</v>
      </c>
      <c r="C82" s="14">
        <v>54</v>
      </c>
      <c r="E82" s="8"/>
      <c r="G82" s="30"/>
      <c r="H82" s="15"/>
    </row>
    <row r="83" spans="1:8" x14ac:dyDescent="0.25">
      <c r="A83" s="14">
        <v>6</v>
      </c>
      <c r="B83" s="23" t="s">
        <v>84</v>
      </c>
      <c r="C83" s="14">
        <v>55</v>
      </c>
      <c r="E83" s="8"/>
      <c r="G83" s="30"/>
      <c r="H83" s="15"/>
    </row>
    <row r="84" spans="1:8" x14ac:dyDescent="0.25">
      <c r="A84" s="14">
        <v>6</v>
      </c>
      <c r="B84" s="23" t="s">
        <v>85</v>
      </c>
      <c r="C84" s="14">
        <v>56</v>
      </c>
      <c r="E84" s="8"/>
      <c r="G84" s="30"/>
      <c r="H84" s="15"/>
    </row>
    <row r="85" spans="1:8" x14ac:dyDescent="0.25">
      <c r="A85" s="23" t="s">
        <v>57</v>
      </c>
      <c r="B85" s="23" t="s">
        <v>53</v>
      </c>
      <c r="C85" s="14">
        <v>57</v>
      </c>
      <c r="E85" s="8"/>
      <c r="G85" s="30"/>
      <c r="H85" s="15"/>
    </row>
    <row r="86" spans="1:8" x14ac:dyDescent="0.25">
      <c r="A86" s="23" t="s">
        <v>57</v>
      </c>
      <c r="B86" s="23" t="s">
        <v>53</v>
      </c>
      <c r="C86" s="14">
        <v>58</v>
      </c>
      <c r="E86" s="8"/>
      <c r="G86" s="30"/>
      <c r="H86" s="15"/>
    </row>
    <row r="87" spans="1:8" x14ac:dyDescent="0.25">
      <c r="A87" s="23" t="s">
        <v>57</v>
      </c>
      <c r="B87" s="23" t="s">
        <v>53</v>
      </c>
      <c r="C87" s="14">
        <v>59</v>
      </c>
      <c r="E87" s="8"/>
      <c r="G87" s="30"/>
      <c r="H87" s="15"/>
    </row>
    <row r="88" spans="1:8" x14ac:dyDescent="0.25">
      <c r="A88" s="23" t="s">
        <v>57</v>
      </c>
      <c r="B88" s="23" t="s">
        <v>53</v>
      </c>
      <c r="C88" s="14">
        <v>60</v>
      </c>
      <c r="E88" s="8"/>
      <c r="G88" s="30"/>
      <c r="H88" s="15"/>
    </row>
    <row r="89" spans="1:8" x14ac:dyDescent="0.25">
      <c r="A89" s="23" t="s">
        <v>57</v>
      </c>
      <c r="B89" s="23" t="s">
        <v>53</v>
      </c>
      <c r="C89" s="14">
        <v>61</v>
      </c>
      <c r="E89" s="8"/>
      <c r="G89" s="30"/>
      <c r="H89" s="15"/>
    </row>
    <row r="90" spans="1:8" x14ac:dyDescent="0.25">
      <c r="A90" s="23" t="s">
        <v>57</v>
      </c>
      <c r="B90" s="23" t="s">
        <v>53</v>
      </c>
      <c r="C90" s="14">
        <v>62</v>
      </c>
      <c r="E90" s="8"/>
      <c r="G90" s="30"/>
      <c r="H90" s="15"/>
    </row>
    <row r="91" spans="1:8" x14ac:dyDescent="0.25">
      <c r="A91" s="23" t="s">
        <v>36</v>
      </c>
      <c r="B91" s="23" t="s">
        <v>54</v>
      </c>
      <c r="C91" s="14">
        <v>63</v>
      </c>
      <c r="E91" s="8"/>
      <c r="G91" s="30"/>
      <c r="H91" s="15"/>
    </row>
    <row r="92" spans="1:8" x14ac:dyDescent="0.25">
      <c r="A92" s="14">
        <v>7</v>
      </c>
      <c r="B92" s="14">
        <v>7.1</v>
      </c>
      <c r="C92" s="14">
        <v>64</v>
      </c>
      <c r="D92" s="32"/>
      <c r="E92" s="8"/>
      <c r="G92" s="30"/>
      <c r="H92" s="15"/>
    </row>
    <row r="93" spans="1:8" x14ac:dyDescent="0.25">
      <c r="A93" s="14">
        <v>7</v>
      </c>
      <c r="B93" s="14">
        <v>7.2</v>
      </c>
      <c r="C93" s="14">
        <v>65</v>
      </c>
      <c r="D93" s="32"/>
      <c r="E93" s="8"/>
      <c r="G93" s="30"/>
      <c r="H93" s="15"/>
    </row>
    <row r="94" spans="1:8" x14ac:dyDescent="0.25">
      <c r="A94" s="14">
        <v>7</v>
      </c>
      <c r="B94" s="14">
        <v>7.3</v>
      </c>
      <c r="C94" s="14">
        <v>66</v>
      </c>
      <c r="D94" s="32"/>
      <c r="E94" s="8"/>
      <c r="G94" s="30"/>
      <c r="H94" s="15"/>
    </row>
    <row r="95" spans="1:8" x14ac:dyDescent="0.25">
      <c r="A95" s="14">
        <v>7</v>
      </c>
      <c r="B95" s="14">
        <v>7.4</v>
      </c>
      <c r="C95" s="14">
        <v>67</v>
      </c>
      <c r="E95" s="8"/>
      <c r="G95" s="30"/>
      <c r="H95" s="15"/>
    </row>
    <row r="96" spans="1:8" x14ac:dyDescent="0.25">
      <c r="A96" s="14">
        <v>7</v>
      </c>
      <c r="B96" s="14">
        <v>7.5</v>
      </c>
      <c r="C96" s="14">
        <v>68</v>
      </c>
      <c r="E96" s="8"/>
      <c r="G96" s="30"/>
      <c r="H96" s="15"/>
    </row>
    <row r="97" spans="1:8" x14ac:dyDescent="0.25">
      <c r="A97" s="14">
        <v>7</v>
      </c>
      <c r="B97" s="23" t="s">
        <v>86</v>
      </c>
      <c r="C97" s="14">
        <v>69</v>
      </c>
      <c r="E97" s="8"/>
      <c r="G97" s="30"/>
      <c r="H97" s="15"/>
    </row>
    <row r="98" spans="1:8" x14ac:dyDescent="0.25">
      <c r="A98" s="14">
        <v>7</v>
      </c>
      <c r="B98" s="23" t="s">
        <v>87</v>
      </c>
      <c r="C98" s="14">
        <v>70</v>
      </c>
      <c r="E98" s="8"/>
      <c r="G98" s="30"/>
      <c r="H98" s="15"/>
    </row>
    <row r="99" spans="1:8" x14ac:dyDescent="0.25">
      <c r="A99" s="14">
        <v>7</v>
      </c>
      <c r="B99" s="23" t="s">
        <v>88</v>
      </c>
      <c r="C99" s="14">
        <v>71</v>
      </c>
      <c r="E99" s="8"/>
      <c r="G99" s="30"/>
      <c r="H99" s="15"/>
    </row>
    <row r="100" spans="1:8" x14ac:dyDescent="0.25">
      <c r="A100" s="14">
        <v>8</v>
      </c>
      <c r="B100" s="14">
        <v>8.1</v>
      </c>
      <c r="C100" s="14">
        <v>72</v>
      </c>
      <c r="E100" s="8"/>
      <c r="G100" s="30"/>
      <c r="H100" s="15"/>
    </row>
    <row r="101" spans="1:8" x14ac:dyDescent="0.25">
      <c r="A101" s="14">
        <v>8</v>
      </c>
      <c r="B101" s="14">
        <v>8.1999999999999993</v>
      </c>
      <c r="C101" s="14">
        <v>73</v>
      </c>
      <c r="E101" s="8"/>
      <c r="G101" s="30"/>
      <c r="H101" s="15"/>
    </row>
    <row r="102" spans="1:8" x14ac:dyDescent="0.25">
      <c r="A102" s="14">
        <v>8</v>
      </c>
      <c r="B102" s="14">
        <v>8.3000000000000007</v>
      </c>
      <c r="C102" s="14">
        <v>74</v>
      </c>
      <c r="E102" s="8"/>
      <c r="G102" s="30"/>
      <c r="H102" s="15"/>
    </row>
    <row r="103" spans="1:8" x14ac:dyDescent="0.25">
      <c r="A103" s="14">
        <v>8</v>
      </c>
      <c r="B103" s="14">
        <v>8.4</v>
      </c>
      <c r="C103" s="14">
        <v>75</v>
      </c>
      <c r="E103" s="8"/>
      <c r="G103" s="30"/>
      <c r="H103" s="15"/>
    </row>
    <row r="104" spans="1:8" x14ac:dyDescent="0.25">
      <c r="A104" s="14">
        <v>8</v>
      </c>
      <c r="B104" s="14">
        <v>8.5</v>
      </c>
      <c r="C104" s="14">
        <v>76</v>
      </c>
      <c r="E104" s="8"/>
      <c r="G104" s="30"/>
      <c r="H104" s="15"/>
    </row>
    <row r="105" spans="1:8" x14ac:dyDescent="0.25">
      <c r="A105" s="14">
        <v>8</v>
      </c>
      <c r="B105" s="23" t="s">
        <v>89</v>
      </c>
      <c r="C105" s="14">
        <v>77</v>
      </c>
      <c r="E105" s="8"/>
      <c r="G105" s="30"/>
      <c r="H105" s="15"/>
    </row>
    <row r="106" spans="1:8" x14ac:dyDescent="0.25">
      <c r="A106" s="14">
        <v>8</v>
      </c>
      <c r="B106" s="23" t="s">
        <v>90</v>
      </c>
      <c r="C106" s="14">
        <v>78</v>
      </c>
      <c r="E106" s="8"/>
      <c r="G106" s="30"/>
      <c r="H106" s="15"/>
    </row>
    <row r="107" spans="1:8" x14ac:dyDescent="0.25">
      <c r="A107" s="14">
        <v>8</v>
      </c>
      <c r="B107" s="23" t="s">
        <v>91</v>
      </c>
      <c r="C107" s="14">
        <v>79</v>
      </c>
      <c r="E107" s="8"/>
      <c r="G107" s="30"/>
      <c r="H107" s="15"/>
    </row>
    <row r="108" spans="1:8" x14ac:dyDescent="0.25">
      <c r="A108" s="14">
        <v>9</v>
      </c>
      <c r="B108" s="14">
        <v>9.1</v>
      </c>
      <c r="C108" s="14">
        <v>80</v>
      </c>
      <c r="E108" s="8"/>
      <c r="G108" s="30"/>
      <c r="H108" s="15"/>
    </row>
    <row r="109" spans="1:8" x14ac:dyDescent="0.25">
      <c r="A109" s="14">
        <v>9</v>
      </c>
      <c r="B109" s="14">
        <v>9.1999999999999993</v>
      </c>
      <c r="C109" s="14">
        <v>81</v>
      </c>
      <c r="E109" s="8"/>
      <c r="G109" s="30"/>
      <c r="H109" s="15"/>
    </row>
    <row r="110" spans="1:8" x14ac:dyDescent="0.25">
      <c r="A110" s="14">
        <v>9</v>
      </c>
      <c r="B110" s="14">
        <v>9.3000000000000007</v>
      </c>
      <c r="C110" s="14">
        <v>82</v>
      </c>
      <c r="E110" s="8"/>
      <c r="G110" s="30"/>
      <c r="H110" s="15"/>
    </row>
    <row r="111" spans="1:8" x14ac:dyDescent="0.25">
      <c r="A111" s="14">
        <v>9</v>
      </c>
      <c r="B111" s="14">
        <v>9.4</v>
      </c>
      <c r="C111" s="14">
        <v>83</v>
      </c>
      <c r="E111" s="8"/>
      <c r="G111" s="30"/>
      <c r="H111" s="15"/>
    </row>
    <row r="112" spans="1:8" x14ac:dyDescent="0.25">
      <c r="A112" s="14">
        <v>9</v>
      </c>
      <c r="B112" s="14">
        <v>9.5</v>
      </c>
      <c r="C112" s="14">
        <v>84</v>
      </c>
      <c r="E112" s="8"/>
      <c r="G112" s="30"/>
      <c r="H112" s="15"/>
    </row>
    <row r="113" spans="1:8" x14ac:dyDescent="0.25">
      <c r="A113" s="14">
        <v>9</v>
      </c>
      <c r="B113" s="14">
        <v>9.6</v>
      </c>
      <c r="C113" s="14">
        <v>85</v>
      </c>
      <c r="E113" s="8"/>
      <c r="G113" s="30"/>
      <c r="H113" s="15"/>
    </row>
    <row r="114" spans="1:8" x14ac:dyDescent="0.25">
      <c r="A114" s="14">
        <v>9</v>
      </c>
      <c r="B114" s="14">
        <v>9.6999999999999993</v>
      </c>
      <c r="C114" s="14">
        <v>86</v>
      </c>
      <c r="E114" s="8"/>
      <c r="G114" s="30"/>
      <c r="H114" s="15"/>
    </row>
    <row r="115" spans="1:8" x14ac:dyDescent="0.25">
      <c r="A115" s="14">
        <v>9</v>
      </c>
      <c r="B115" s="14">
        <v>9.8000000000000007</v>
      </c>
      <c r="C115" s="14">
        <v>87</v>
      </c>
      <c r="E115" s="8"/>
      <c r="G115" s="30"/>
      <c r="H115" s="15"/>
    </row>
    <row r="116" spans="1:8" x14ac:dyDescent="0.25">
      <c r="A116" s="14">
        <v>9</v>
      </c>
      <c r="B116" s="23" t="s">
        <v>92</v>
      </c>
      <c r="C116" s="14">
        <v>88</v>
      </c>
      <c r="E116" s="8"/>
      <c r="G116" s="30"/>
      <c r="H116" s="15"/>
    </row>
    <row r="117" spans="1:8" x14ac:dyDescent="0.25">
      <c r="A117" s="14">
        <v>9</v>
      </c>
      <c r="B117" s="23" t="s">
        <v>93</v>
      </c>
      <c r="C117" s="14">
        <v>89</v>
      </c>
      <c r="E117" s="8"/>
      <c r="G117" s="30"/>
      <c r="H117" s="15"/>
    </row>
    <row r="118" spans="1:8" x14ac:dyDescent="0.25">
      <c r="A118" s="14">
        <v>9</v>
      </c>
      <c r="B118" s="23" t="s">
        <v>94</v>
      </c>
      <c r="C118" s="14">
        <v>90</v>
      </c>
      <c r="E118" s="8"/>
      <c r="G118" s="30"/>
      <c r="H118" s="15"/>
    </row>
    <row r="119" spans="1:8" x14ac:dyDescent="0.25">
      <c r="A119" s="14">
        <v>10</v>
      </c>
      <c r="B119" s="14">
        <v>10.1</v>
      </c>
      <c r="C119" s="14">
        <v>91</v>
      </c>
      <c r="E119" s="8"/>
      <c r="G119" s="30"/>
      <c r="H119" s="15"/>
    </row>
    <row r="120" spans="1:8" x14ac:dyDescent="0.25">
      <c r="A120" s="14">
        <v>10</v>
      </c>
      <c r="B120" s="14">
        <v>10.199999999999999</v>
      </c>
      <c r="C120" s="14">
        <v>92</v>
      </c>
      <c r="E120" s="8"/>
      <c r="G120" s="30"/>
      <c r="H120" s="15"/>
    </row>
    <row r="121" spans="1:8" x14ac:dyDescent="0.25">
      <c r="A121" s="14">
        <v>10</v>
      </c>
      <c r="B121" s="14">
        <v>10.3</v>
      </c>
      <c r="C121" s="14">
        <v>93</v>
      </c>
      <c r="E121" s="8"/>
      <c r="G121" s="30"/>
      <c r="H121" s="15"/>
    </row>
    <row r="122" spans="1:8" x14ac:dyDescent="0.25">
      <c r="A122" s="14">
        <v>10</v>
      </c>
      <c r="B122" s="14">
        <v>10.4</v>
      </c>
      <c r="C122" s="14">
        <v>94</v>
      </c>
      <c r="E122" s="8"/>
      <c r="G122" s="30"/>
      <c r="H122" s="15"/>
    </row>
    <row r="123" spans="1:8" x14ac:dyDescent="0.25">
      <c r="A123" s="14">
        <v>10</v>
      </c>
      <c r="B123" s="14">
        <v>10.5</v>
      </c>
      <c r="C123" s="14">
        <v>95</v>
      </c>
      <c r="E123" s="8"/>
      <c r="G123" s="30"/>
      <c r="H123" s="15"/>
    </row>
    <row r="124" spans="1:8" x14ac:dyDescent="0.25">
      <c r="A124" s="14">
        <v>10</v>
      </c>
      <c r="B124" s="14">
        <v>10.6</v>
      </c>
      <c r="C124" s="14">
        <v>96</v>
      </c>
      <c r="E124" s="8"/>
      <c r="G124" s="30"/>
      <c r="H124" s="15"/>
    </row>
    <row r="125" spans="1:8" x14ac:dyDescent="0.25">
      <c r="A125" s="14">
        <v>10</v>
      </c>
      <c r="B125" s="23" t="s">
        <v>95</v>
      </c>
      <c r="C125" s="14">
        <v>97</v>
      </c>
      <c r="E125" s="8"/>
      <c r="G125" s="30"/>
      <c r="H125" s="15"/>
    </row>
    <row r="126" spans="1:8" x14ac:dyDescent="0.25">
      <c r="A126" s="14">
        <v>10</v>
      </c>
      <c r="B126" s="23" t="s">
        <v>96</v>
      </c>
      <c r="C126" s="14">
        <v>98</v>
      </c>
      <c r="E126" s="8"/>
      <c r="G126" s="30"/>
      <c r="H126" s="15"/>
    </row>
    <row r="127" spans="1:8" x14ac:dyDescent="0.25">
      <c r="A127" s="14">
        <v>10</v>
      </c>
      <c r="B127" s="23" t="s">
        <v>97</v>
      </c>
      <c r="C127" s="14">
        <v>99</v>
      </c>
      <c r="E127" s="8"/>
      <c r="G127" s="30"/>
      <c r="H127" s="15"/>
    </row>
    <row r="128" spans="1:8" x14ac:dyDescent="0.25">
      <c r="A128" s="14">
        <v>11</v>
      </c>
      <c r="B128" s="14">
        <v>11.1</v>
      </c>
      <c r="C128" s="14">
        <v>100</v>
      </c>
      <c r="E128" s="8"/>
      <c r="G128" s="30"/>
      <c r="H128" s="15"/>
    </row>
    <row r="129" spans="1:8" x14ac:dyDescent="0.25">
      <c r="A129" s="14">
        <v>11</v>
      </c>
      <c r="B129" s="14">
        <v>11.2</v>
      </c>
      <c r="C129" s="14">
        <v>101</v>
      </c>
      <c r="E129" s="8"/>
      <c r="G129" s="30"/>
      <c r="H129" s="15"/>
    </row>
    <row r="130" spans="1:8" x14ac:dyDescent="0.25">
      <c r="A130" s="14">
        <v>11</v>
      </c>
      <c r="B130" s="14">
        <v>11.3</v>
      </c>
      <c r="C130" s="14">
        <v>102</v>
      </c>
      <c r="D130" s="32"/>
      <c r="E130" s="39"/>
      <c r="G130" s="30"/>
      <c r="H130" s="15"/>
    </row>
    <row r="131" spans="1:8" x14ac:dyDescent="0.25">
      <c r="A131" s="14">
        <v>11</v>
      </c>
      <c r="B131" s="14">
        <v>11.4</v>
      </c>
      <c r="C131" s="14">
        <v>103</v>
      </c>
      <c r="D131" s="32"/>
      <c r="E131" s="39"/>
      <c r="G131" s="30"/>
      <c r="H131" s="15"/>
    </row>
    <row r="132" spans="1:8" x14ac:dyDescent="0.25">
      <c r="A132" s="14">
        <v>11</v>
      </c>
      <c r="B132" s="14">
        <v>11.5</v>
      </c>
      <c r="C132" s="14">
        <v>104</v>
      </c>
      <c r="D132" s="32"/>
      <c r="E132" s="39"/>
      <c r="G132" s="30"/>
      <c r="H132" s="15"/>
    </row>
    <row r="133" spans="1:8" x14ac:dyDescent="0.25">
      <c r="A133" s="14">
        <v>11</v>
      </c>
      <c r="B133" s="14">
        <v>11.6</v>
      </c>
      <c r="C133" s="14">
        <v>105</v>
      </c>
      <c r="D133" s="32"/>
      <c r="E133" s="34"/>
      <c r="H133" s="13"/>
    </row>
    <row r="134" spans="1:8" x14ac:dyDescent="0.25">
      <c r="A134" s="14">
        <v>11</v>
      </c>
      <c r="B134" s="23" t="s">
        <v>98</v>
      </c>
      <c r="C134" s="14">
        <v>106</v>
      </c>
      <c r="D134" s="32"/>
      <c r="E134" s="34"/>
    </row>
    <row r="135" spans="1:8" x14ac:dyDescent="0.25">
      <c r="A135" s="14">
        <v>11</v>
      </c>
      <c r="B135" s="23" t="s">
        <v>99</v>
      </c>
      <c r="C135" s="14">
        <v>107</v>
      </c>
      <c r="D135" s="32"/>
      <c r="E135" s="34"/>
    </row>
    <row r="136" spans="1:8" x14ac:dyDescent="0.25">
      <c r="A136" s="14">
        <v>11</v>
      </c>
      <c r="B136" s="23" t="s">
        <v>100</v>
      </c>
      <c r="C136" s="14">
        <v>108</v>
      </c>
      <c r="D136" s="32"/>
      <c r="E136" s="34"/>
    </row>
    <row r="137" spans="1:8" x14ac:dyDescent="0.25">
      <c r="A137" s="23" t="s">
        <v>37</v>
      </c>
      <c r="B137" s="23" t="s">
        <v>55</v>
      </c>
      <c r="C137" s="14">
        <v>109</v>
      </c>
      <c r="D137" s="33"/>
      <c r="E137" s="34"/>
    </row>
    <row r="138" spans="1:8" x14ac:dyDescent="0.25">
      <c r="A138" s="23" t="s">
        <v>37</v>
      </c>
      <c r="B138" s="23" t="s">
        <v>55</v>
      </c>
      <c r="C138" s="14">
        <v>110</v>
      </c>
      <c r="D138" s="33"/>
      <c r="E138" s="34"/>
    </row>
    <row r="139" spans="1:8" x14ac:dyDescent="0.25">
      <c r="A139" s="23" t="s">
        <v>37</v>
      </c>
      <c r="B139" s="23" t="s">
        <v>55</v>
      </c>
      <c r="C139" s="14">
        <v>111</v>
      </c>
      <c r="D139" s="32"/>
      <c r="E139" s="34"/>
    </row>
    <row r="140" spans="1:8" x14ac:dyDescent="0.25">
      <c r="A140" s="23" t="s">
        <v>37</v>
      </c>
      <c r="B140" s="23" t="s">
        <v>55</v>
      </c>
      <c r="C140" s="14">
        <v>112</v>
      </c>
      <c r="D140" s="32"/>
      <c r="E140" s="34"/>
    </row>
    <row r="141" spans="1:8" x14ac:dyDescent="0.25">
      <c r="A141" s="23" t="s">
        <v>37</v>
      </c>
      <c r="B141" s="23" t="s">
        <v>55</v>
      </c>
      <c r="C141" s="14">
        <v>113</v>
      </c>
      <c r="D141" s="32"/>
      <c r="E141" s="34"/>
    </row>
    <row r="142" spans="1:8" x14ac:dyDescent="0.25">
      <c r="A142" s="23" t="s">
        <v>37</v>
      </c>
      <c r="B142" s="23" t="s">
        <v>55</v>
      </c>
      <c r="C142" s="14">
        <v>114</v>
      </c>
      <c r="D142" s="32"/>
      <c r="E142" s="34"/>
    </row>
    <row r="143" spans="1:8" x14ac:dyDescent="0.25">
      <c r="A143" s="23" t="s">
        <v>38</v>
      </c>
      <c r="B143" s="23" t="s">
        <v>56</v>
      </c>
      <c r="C143" s="14">
        <v>115</v>
      </c>
      <c r="D143" s="32"/>
      <c r="E143" s="34"/>
    </row>
    <row r="144" spans="1:8" x14ac:dyDescent="0.25">
      <c r="D144" s="32"/>
      <c r="E144" s="34"/>
    </row>
    <row r="145" spans="1:5" ht="16.5" thickBot="1" x14ac:dyDescent="0.3">
      <c r="A145" s="42" t="s">
        <v>21</v>
      </c>
      <c r="B145" s="42"/>
      <c r="C145" s="42"/>
      <c r="D145" s="32"/>
      <c r="E145" s="34"/>
    </row>
    <row r="146" spans="1:5" ht="15.75" thickTop="1" x14ac:dyDescent="0.25">
      <c r="A146" s="18" t="s">
        <v>22</v>
      </c>
      <c r="B146" s="18" t="s">
        <v>23</v>
      </c>
      <c r="C146" s="18" t="s">
        <v>20</v>
      </c>
    </row>
    <row r="147" spans="1:5" x14ac:dyDescent="0.25">
      <c r="A147" s="14" t="s">
        <v>26</v>
      </c>
      <c r="B147" s="19">
        <v>44189</v>
      </c>
      <c r="C147" s="14">
        <v>1</v>
      </c>
    </row>
    <row r="148" spans="1:5" x14ac:dyDescent="0.25">
      <c r="A148" s="14" t="s">
        <v>27</v>
      </c>
      <c r="B148" s="19">
        <v>44190</v>
      </c>
      <c r="C148" s="14">
        <v>2</v>
      </c>
    </row>
    <row r="149" spans="1:5" x14ac:dyDescent="0.25">
      <c r="A149" s="14" t="s">
        <v>28</v>
      </c>
      <c r="B149" s="19">
        <v>44197</v>
      </c>
      <c r="C149" s="14">
        <v>3</v>
      </c>
    </row>
    <row r="150" spans="1:5" x14ac:dyDescent="0.25">
      <c r="A150" s="14" t="s">
        <v>29</v>
      </c>
      <c r="B150" s="19">
        <v>44214</v>
      </c>
      <c r="C150" s="14">
        <v>4</v>
      </c>
    </row>
    <row r="151" spans="1:5" x14ac:dyDescent="0.25">
      <c r="A151" s="14" t="s">
        <v>30</v>
      </c>
      <c r="B151" s="19">
        <v>44242</v>
      </c>
      <c r="C151" s="14">
        <v>5</v>
      </c>
    </row>
    <row r="152" spans="1:5" x14ac:dyDescent="0.25">
      <c r="A152" s="14" t="s">
        <v>31</v>
      </c>
      <c r="B152" s="19">
        <v>44347</v>
      </c>
      <c r="C152" s="14">
        <v>6</v>
      </c>
    </row>
    <row r="153" spans="1:5" x14ac:dyDescent="0.25">
      <c r="A153" s="14" t="s">
        <v>32</v>
      </c>
      <c r="B153" s="19">
        <v>44381</v>
      </c>
      <c r="C153" s="14">
        <v>7</v>
      </c>
    </row>
    <row r="154" spans="1:5" x14ac:dyDescent="0.25">
      <c r="A154" s="14" t="s">
        <v>33</v>
      </c>
      <c r="B154" s="19">
        <v>44445</v>
      </c>
      <c r="C154" s="14">
        <v>8</v>
      </c>
    </row>
    <row r="155" spans="1:5" x14ac:dyDescent="0.25">
      <c r="A155" s="14" t="s">
        <v>34</v>
      </c>
      <c r="B155" s="19">
        <v>44480</v>
      </c>
      <c r="C155" s="14">
        <v>9</v>
      </c>
    </row>
    <row r="156" spans="1:5" x14ac:dyDescent="0.25">
      <c r="A156" s="14" t="s">
        <v>24</v>
      </c>
      <c r="B156" s="19">
        <v>44511</v>
      </c>
      <c r="C156" s="14">
        <v>10</v>
      </c>
    </row>
    <row r="157" spans="1:5" x14ac:dyDescent="0.25">
      <c r="A157" s="14" t="s">
        <v>25</v>
      </c>
      <c r="B157" s="19">
        <v>44525</v>
      </c>
      <c r="C157" s="14">
        <v>11</v>
      </c>
    </row>
    <row r="159" spans="1:5" ht="15.75" x14ac:dyDescent="0.25">
      <c r="A159" s="41" t="s">
        <v>66</v>
      </c>
      <c r="B159" s="41"/>
      <c r="C159" s="41"/>
      <c r="D159" s="10"/>
    </row>
    <row r="160" spans="1:5" x14ac:dyDescent="0.25">
      <c r="A160" s="14" t="s">
        <v>65</v>
      </c>
      <c r="B160" s="14">
        <f>E20-E19+1</f>
        <v>1</v>
      </c>
      <c r="C160" s="14">
        <f>IF(B160&gt;16,1,0)</f>
        <v>0</v>
      </c>
      <c r="D160" s="10"/>
    </row>
  </sheetData>
  <mergeCells count="5">
    <mergeCell ref="A159:C159"/>
    <mergeCell ref="A26:C26"/>
    <mergeCell ref="A27:C27"/>
    <mergeCell ref="A145:C145"/>
    <mergeCell ref="J17:L17"/>
  </mergeCells>
  <phoneticPr fontId="5" type="noConversion"/>
  <conditionalFormatting sqref="I1:I1048576">
    <cfRule type="cellIs" dxfId="3" priority="3" operator="equal">
      <formula>-2</formula>
    </cfRule>
    <cfRule type="cellIs" dxfId="2" priority="4" operator="equal">
      <formula>2</formula>
    </cfRule>
  </conditionalFormatting>
  <conditionalFormatting sqref="I17:I132">
    <cfRule type="cellIs" dxfId="1" priority="2" operator="equal">
      <formula>3</formula>
    </cfRule>
  </conditionalFormatting>
  <conditionalFormatting sqref="C160">
    <cfRule type="cellIs" dxfId="0" priority="1" operator="equal">
      <formula>1</formula>
    </cfRule>
  </conditionalFormatting>
  <pageMargins left="0.7" right="0.7" top="0.75" bottom="0.75" header="0.3" footer="0.3"/>
  <pageSetup orientation="portrait" r:id="rId1"/>
  <drawing r:id="rId2"/>
  <legacyDrawing r:id="rId3"/>
  <oleObjects>
    <mc:AlternateContent xmlns:mc="http://schemas.openxmlformats.org/markup-compatibility/2006">
      <mc:Choice Requires="x14">
        <oleObject progId="Acrobat Document" dvAspect="DVASPECT_ICON" shapeId="1026" r:id="rId4">
          <objectPr defaultSize="0" r:id="rId5">
            <anchor moveWithCells="1">
              <from>
                <xdr:col>3</xdr:col>
                <xdr:colOff>647700</xdr:colOff>
                <xdr:row>1</xdr:row>
                <xdr:rowOff>85725</xdr:rowOff>
              </from>
              <to>
                <xdr:col>3</xdr:col>
                <xdr:colOff>1562100</xdr:colOff>
                <xdr:row>1</xdr:row>
                <xdr:rowOff>771525</xdr:rowOff>
              </to>
            </anchor>
          </objectPr>
        </oleObject>
      </mc:Choice>
      <mc:Fallback>
        <oleObject progId="Acrobat Document" dvAspect="DVASPECT_ICON" shapeId="1026" r:id="rId4"/>
      </mc:Fallback>
    </mc:AlternateContent>
  </oleObjects>
  <mc:AlternateContent xmlns:mc="http://schemas.openxmlformats.org/markup-compatibility/2006">
    <mc:Choice Requires="x14">
      <controls>
        <mc:AlternateContent xmlns:mc="http://schemas.openxmlformats.org/markup-compatibility/2006">
          <mc:Choice Requires="x14">
            <control shapeId="1027" r:id="rId6" name="Button 3">
              <controlPr defaultSize="0" print="0" autoFill="0" autoPict="0" macro="[0]!Course_Study_Plan">
                <anchor moveWithCells="1" sizeWithCells="1">
                  <from>
                    <xdr:col>3</xdr:col>
                    <xdr:colOff>247650</xdr:colOff>
                    <xdr:row>15</xdr:row>
                    <xdr:rowOff>85725</xdr:rowOff>
                  </from>
                  <to>
                    <xdr:col>3</xdr:col>
                    <xdr:colOff>5153025</xdr:colOff>
                    <xdr:row>15</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0C736B-B50E-4206-8826-C1E5C900CF99}">
  <sheetPr codeName="Sheet3"/>
  <dimension ref="A1:A574"/>
  <sheetViews>
    <sheetView workbookViewId="0">
      <selection activeCell="C558" sqref="C558"/>
    </sheetView>
  </sheetViews>
  <sheetFormatPr defaultRowHeight="15" x14ac:dyDescent="0.25"/>
  <cols>
    <col min="1" max="1" width="130.28515625" customWidth="1"/>
  </cols>
  <sheetData>
    <row r="1" spans="1:1" ht="15.75" x14ac:dyDescent="0.25">
      <c r="A1" s="7" t="s">
        <v>6</v>
      </c>
    </row>
    <row r="3" spans="1:1" x14ac:dyDescent="0.25">
      <c r="A3" s="6" t="s">
        <v>103</v>
      </c>
    </row>
    <row r="5" spans="1:1" x14ac:dyDescent="0.25">
      <c r="A5" t="s">
        <v>104</v>
      </c>
    </row>
    <row r="6" spans="1:1" x14ac:dyDescent="0.25">
      <c r="A6" t="s">
        <v>105</v>
      </c>
    </row>
    <row r="7" spans="1:1" x14ac:dyDescent="0.25">
      <c r="A7" t="s">
        <v>106</v>
      </c>
    </row>
    <row r="8" spans="1:1" x14ac:dyDescent="0.25">
      <c r="A8" t="s">
        <v>107</v>
      </c>
    </row>
    <row r="10" spans="1:1" x14ac:dyDescent="0.25">
      <c r="A10" t="s">
        <v>108</v>
      </c>
    </row>
    <row r="11" spans="1:1" x14ac:dyDescent="0.25">
      <c r="A11" t="s">
        <v>109</v>
      </c>
    </row>
    <row r="12" spans="1:1" x14ac:dyDescent="0.25">
      <c r="A12" t="s">
        <v>110</v>
      </c>
    </row>
    <row r="13" spans="1:1" x14ac:dyDescent="0.25">
      <c r="A13" t="s">
        <v>111</v>
      </c>
    </row>
    <row r="15" spans="1:1" x14ac:dyDescent="0.25">
      <c r="A15" t="s">
        <v>112</v>
      </c>
    </row>
    <row r="17" spans="1:1" x14ac:dyDescent="0.25">
      <c r="A17" t="s">
        <v>113</v>
      </c>
    </row>
    <row r="18" spans="1:1" x14ac:dyDescent="0.25">
      <c r="A18" t="s">
        <v>114</v>
      </c>
    </row>
    <row r="19" spans="1:1" x14ac:dyDescent="0.25">
      <c r="A19" t="s">
        <v>115</v>
      </c>
    </row>
    <row r="20" spans="1:1" x14ac:dyDescent="0.25">
      <c r="A20" t="s">
        <v>116</v>
      </c>
    </row>
    <row r="22" spans="1:1" x14ac:dyDescent="0.25">
      <c r="A22" t="s">
        <v>117</v>
      </c>
    </row>
    <row r="23" spans="1:1" x14ac:dyDescent="0.25">
      <c r="A23" t="s">
        <v>118</v>
      </c>
    </row>
    <row r="24" spans="1:1" x14ac:dyDescent="0.25">
      <c r="A24" t="s">
        <v>119</v>
      </c>
    </row>
    <row r="25" spans="1:1" x14ac:dyDescent="0.25">
      <c r="A25" t="s">
        <v>120</v>
      </c>
    </row>
    <row r="26" spans="1:1" x14ac:dyDescent="0.25">
      <c r="A26" t="s">
        <v>121</v>
      </c>
    </row>
    <row r="27" spans="1:1" x14ac:dyDescent="0.25">
      <c r="A27" t="s">
        <v>122</v>
      </c>
    </row>
    <row r="28" spans="1:1" x14ac:dyDescent="0.25">
      <c r="A28" t="s">
        <v>123</v>
      </c>
    </row>
    <row r="30" spans="1:1" x14ac:dyDescent="0.25">
      <c r="A30" t="s">
        <v>124</v>
      </c>
    </row>
    <row r="31" spans="1:1" x14ac:dyDescent="0.25">
      <c r="A31" t="s">
        <v>125</v>
      </c>
    </row>
    <row r="32" spans="1:1" x14ac:dyDescent="0.25">
      <c r="A32" t="s">
        <v>122</v>
      </c>
    </row>
    <row r="33" spans="1:1" x14ac:dyDescent="0.25">
      <c r="A33" t="s">
        <v>121</v>
      </c>
    </row>
    <row r="34" spans="1:1" x14ac:dyDescent="0.25">
      <c r="A34" t="s">
        <v>126</v>
      </c>
    </row>
    <row r="35" spans="1:1" x14ac:dyDescent="0.25">
      <c r="A35" t="s">
        <v>127</v>
      </c>
    </row>
    <row r="36" spans="1:1" x14ac:dyDescent="0.25">
      <c r="A36" t="s">
        <v>120</v>
      </c>
    </row>
    <row r="37" spans="1:1" x14ac:dyDescent="0.25">
      <c r="A37" t="s">
        <v>123</v>
      </c>
    </row>
    <row r="38" spans="1:1" x14ac:dyDescent="0.25">
      <c r="A38" t="s">
        <v>128</v>
      </c>
    </row>
    <row r="39" spans="1:1" x14ac:dyDescent="0.25">
      <c r="A39" t="s">
        <v>129</v>
      </c>
    </row>
    <row r="40" spans="1:1" x14ac:dyDescent="0.25">
      <c r="A40" t="s">
        <v>130</v>
      </c>
    </row>
    <row r="41" spans="1:1" x14ac:dyDescent="0.25">
      <c r="A41" t="s">
        <v>121</v>
      </c>
    </row>
    <row r="42" spans="1:1" x14ac:dyDescent="0.25">
      <c r="A42" t="s">
        <v>131</v>
      </c>
    </row>
    <row r="43" spans="1:1" x14ac:dyDescent="0.25">
      <c r="A43" t="s">
        <v>132</v>
      </c>
    </row>
    <row r="44" spans="1:1" x14ac:dyDescent="0.25">
      <c r="A44" t="s">
        <v>120</v>
      </c>
    </row>
    <row r="45" spans="1:1" x14ac:dyDescent="0.25">
      <c r="A45" t="s">
        <v>123</v>
      </c>
    </row>
    <row r="47" spans="1:1" x14ac:dyDescent="0.25">
      <c r="A47" t="s">
        <v>133</v>
      </c>
    </row>
    <row r="48" spans="1:1" x14ac:dyDescent="0.25">
      <c r="A48" t="s">
        <v>134</v>
      </c>
    </row>
    <row r="49" spans="1:1" x14ac:dyDescent="0.25">
      <c r="A49" t="s">
        <v>121</v>
      </c>
    </row>
    <row r="50" spans="1:1" x14ac:dyDescent="0.25">
      <c r="A50" t="s">
        <v>135</v>
      </c>
    </row>
    <row r="51" spans="1:1" x14ac:dyDescent="0.25">
      <c r="A51" t="s">
        <v>132</v>
      </c>
    </row>
    <row r="52" spans="1:1" x14ac:dyDescent="0.25">
      <c r="A52" t="s">
        <v>120</v>
      </c>
    </row>
    <row r="53" spans="1:1" x14ac:dyDescent="0.25">
      <c r="A53" t="s">
        <v>123</v>
      </c>
    </row>
    <row r="55" spans="1:1" x14ac:dyDescent="0.25">
      <c r="A55" t="s">
        <v>136</v>
      </c>
    </row>
    <row r="56" spans="1:1" x14ac:dyDescent="0.25">
      <c r="A56" t="s">
        <v>137</v>
      </c>
    </row>
    <row r="57" spans="1:1" x14ac:dyDescent="0.25">
      <c r="A57" t="s">
        <v>138</v>
      </c>
    </row>
    <row r="58" spans="1:1" x14ac:dyDescent="0.25">
      <c r="A58" t="s">
        <v>139</v>
      </c>
    </row>
    <row r="59" spans="1:1" x14ac:dyDescent="0.25">
      <c r="A59" t="s">
        <v>123</v>
      </c>
    </row>
    <row r="61" spans="1:1" x14ac:dyDescent="0.25">
      <c r="A61" t="s">
        <v>140</v>
      </c>
    </row>
    <row r="62" spans="1:1" x14ac:dyDescent="0.25">
      <c r="A62" t="s">
        <v>141</v>
      </c>
    </row>
    <row r="63" spans="1:1" x14ac:dyDescent="0.25">
      <c r="A63" t="s">
        <v>142</v>
      </c>
    </row>
    <row r="64" spans="1:1" x14ac:dyDescent="0.25">
      <c r="A64" t="s">
        <v>139</v>
      </c>
    </row>
    <row r="65" spans="1:1" x14ac:dyDescent="0.25">
      <c r="A65" t="s">
        <v>123</v>
      </c>
    </row>
    <row r="67" spans="1:1" x14ac:dyDescent="0.25">
      <c r="A67" t="s">
        <v>143</v>
      </c>
    </row>
    <row r="68" spans="1:1" x14ac:dyDescent="0.25">
      <c r="A68" t="s">
        <v>144</v>
      </c>
    </row>
    <row r="69" spans="1:1" x14ac:dyDescent="0.25">
      <c r="A69" t="s">
        <v>145</v>
      </c>
    </row>
    <row r="70" spans="1:1" x14ac:dyDescent="0.25">
      <c r="A70" t="s">
        <v>139</v>
      </c>
    </row>
    <row r="71" spans="1:1" x14ac:dyDescent="0.25">
      <c r="A71" t="s">
        <v>123</v>
      </c>
    </row>
    <row r="72" spans="1:1" x14ac:dyDescent="0.25">
      <c r="A72" t="s">
        <v>146</v>
      </c>
    </row>
    <row r="73" spans="1:1" x14ac:dyDescent="0.25">
      <c r="A73" t="s">
        <v>147</v>
      </c>
    </row>
    <row r="74" spans="1:1" x14ac:dyDescent="0.25">
      <c r="A74" t="s">
        <v>148</v>
      </c>
    </row>
    <row r="75" spans="1:1" x14ac:dyDescent="0.25">
      <c r="A75" t="s">
        <v>149</v>
      </c>
    </row>
    <row r="76" spans="1:1" x14ac:dyDescent="0.25">
      <c r="A76" t="s">
        <v>150</v>
      </c>
    </row>
    <row r="77" spans="1:1" x14ac:dyDescent="0.25">
      <c r="A77" t="s">
        <v>132</v>
      </c>
    </row>
    <row r="78" spans="1:1" x14ac:dyDescent="0.25">
      <c r="A78" t="s">
        <v>120</v>
      </c>
    </row>
    <row r="79" spans="1:1" x14ac:dyDescent="0.25">
      <c r="A79" t="s">
        <v>121</v>
      </c>
    </row>
    <row r="80" spans="1:1" x14ac:dyDescent="0.25">
      <c r="A80" t="s">
        <v>151</v>
      </c>
    </row>
    <row r="81" spans="1:1" x14ac:dyDescent="0.25">
      <c r="A81" t="s">
        <v>123</v>
      </c>
    </row>
    <row r="82" spans="1:1" x14ac:dyDescent="0.25">
      <c r="A82" t="s">
        <v>152</v>
      </c>
    </row>
    <row r="84" spans="1:1" x14ac:dyDescent="0.25">
      <c r="A84" t="s">
        <v>147</v>
      </c>
    </row>
    <row r="85" spans="1:1" x14ac:dyDescent="0.25">
      <c r="A85" t="s">
        <v>153</v>
      </c>
    </row>
    <row r="86" spans="1:1" x14ac:dyDescent="0.25">
      <c r="A86" t="s">
        <v>154</v>
      </c>
    </row>
    <row r="87" spans="1:1" x14ac:dyDescent="0.25">
      <c r="A87" t="s">
        <v>150</v>
      </c>
    </row>
    <row r="88" spans="1:1" x14ac:dyDescent="0.25">
      <c r="A88" t="s">
        <v>155</v>
      </c>
    </row>
    <row r="89" spans="1:1" x14ac:dyDescent="0.25">
      <c r="A89" t="s">
        <v>120</v>
      </c>
    </row>
    <row r="90" spans="1:1" x14ac:dyDescent="0.25">
      <c r="A90" t="s">
        <v>121</v>
      </c>
    </row>
    <row r="91" spans="1:1" x14ac:dyDescent="0.25">
      <c r="A91" t="s">
        <v>151</v>
      </c>
    </row>
    <row r="92" spans="1:1" x14ac:dyDescent="0.25">
      <c r="A92" t="s">
        <v>156</v>
      </c>
    </row>
    <row r="93" spans="1:1" x14ac:dyDescent="0.25">
      <c r="A93" t="s">
        <v>152</v>
      </c>
    </row>
    <row r="95" spans="1:1" x14ac:dyDescent="0.25">
      <c r="A95" t="s">
        <v>157</v>
      </c>
    </row>
    <row r="97" spans="1:1" x14ac:dyDescent="0.25">
      <c r="A97" s="45" t="s">
        <v>342</v>
      </c>
    </row>
    <row r="98" spans="1:1" x14ac:dyDescent="0.25">
      <c r="A98" t="s">
        <v>158</v>
      </c>
    </row>
    <row r="99" spans="1:1" x14ac:dyDescent="0.25">
      <c r="A99" t="s">
        <v>350</v>
      </c>
    </row>
    <row r="100" spans="1:1" x14ac:dyDescent="0.25">
      <c r="A100" t="s">
        <v>351</v>
      </c>
    </row>
    <row r="101" spans="1:1" x14ac:dyDescent="0.25">
      <c r="A101" t="s">
        <v>352</v>
      </c>
    </row>
    <row r="102" spans="1:1" x14ac:dyDescent="0.25">
      <c r="A102" t="s">
        <v>353</v>
      </c>
    </row>
    <row r="103" spans="1:1" x14ac:dyDescent="0.25">
      <c r="A103" t="s">
        <v>251</v>
      </c>
    </row>
    <row r="104" spans="1:1" x14ac:dyDescent="0.25">
      <c r="A104" t="s">
        <v>159</v>
      </c>
    </row>
    <row r="105" spans="1:1" x14ac:dyDescent="0.25">
      <c r="A105" t="s">
        <v>160</v>
      </c>
    </row>
    <row r="106" spans="1:1" x14ac:dyDescent="0.25">
      <c r="A106" t="s">
        <v>161</v>
      </c>
    </row>
    <row r="107" spans="1:1" x14ac:dyDescent="0.25">
      <c r="A107" t="s">
        <v>162</v>
      </c>
    </row>
    <row r="108" spans="1:1" x14ac:dyDescent="0.25">
      <c r="A108" t="s">
        <v>163</v>
      </c>
    </row>
    <row r="109" spans="1:1" x14ac:dyDescent="0.25">
      <c r="A109" t="s">
        <v>164</v>
      </c>
    </row>
    <row r="110" spans="1:1" x14ac:dyDescent="0.25">
      <c r="A110" t="s">
        <v>173</v>
      </c>
    </row>
    <row r="111" spans="1:1" x14ac:dyDescent="0.25">
      <c r="A111" t="s">
        <v>165</v>
      </c>
    </row>
    <row r="112" spans="1:1" x14ac:dyDescent="0.25">
      <c r="A112" t="s">
        <v>166</v>
      </c>
    </row>
    <row r="113" spans="1:1" x14ac:dyDescent="0.25">
      <c r="A113" t="s">
        <v>167</v>
      </c>
    </row>
    <row r="114" spans="1:1" x14ac:dyDescent="0.25">
      <c r="A114" t="s">
        <v>168</v>
      </c>
    </row>
    <row r="115" spans="1:1" x14ac:dyDescent="0.25">
      <c r="A115" t="s">
        <v>169</v>
      </c>
    </row>
    <row r="116" spans="1:1" x14ac:dyDescent="0.25">
      <c r="A116" t="s">
        <v>170</v>
      </c>
    </row>
    <row r="117" spans="1:1" x14ac:dyDescent="0.25">
      <c r="A117" t="s">
        <v>171</v>
      </c>
    </row>
    <row r="118" spans="1:1" x14ac:dyDescent="0.25">
      <c r="A118" t="s">
        <v>172</v>
      </c>
    </row>
    <row r="119" spans="1:1" x14ac:dyDescent="0.25">
      <c r="A119" t="s">
        <v>173</v>
      </c>
    </row>
    <row r="120" spans="1:1" x14ac:dyDescent="0.25">
      <c r="A120" t="s">
        <v>174</v>
      </c>
    </row>
    <row r="121" spans="1:1" x14ac:dyDescent="0.25">
      <c r="A121" t="s">
        <v>175</v>
      </c>
    </row>
    <row r="122" spans="1:1" x14ac:dyDescent="0.25">
      <c r="A122" t="s">
        <v>176</v>
      </c>
    </row>
    <row r="123" spans="1:1" x14ac:dyDescent="0.25">
      <c r="A123" t="s">
        <v>177</v>
      </c>
    </row>
    <row r="124" spans="1:1" x14ac:dyDescent="0.25">
      <c r="A124" t="s">
        <v>178</v>
      </c>
    </row>
    <row r="125" spans="1:1" x14ac:dyDescent="0.25">
      <c r="A125" t="s">
        <v>179</v>
      </c>
    </row>
    <row r="126" spans="1:1" x14ac:dyDescent="0.25">
      <c r="A126" t="s">
        <v>121</v>
      </c>
    </row>
    <row r="127" spans="1:1" x14ac:dyDescent="0.25">
      <c r="A127" t="s">
        <v>180</v>
      </c>
    </row>
    <row r="128" spans="1:1" x14ac:dyDescent="0.25">
      <c r="A128" t="s">
        <v>181</v>
      </c>
    </row>
    <row r="129" spans="1:1" x14ac:dyDescent="0.25">
      <c r="A129" t="s">
        <v>123</v>
      </c>
    </row>
    <row r="131" spans="1:1" x14ac:dyDescent="0.25">
      <c r="A131" t="s">
        <v>354</v>
      </c>
    </row>
    <row r="133" spans="1:1" x14ac:dyDescent="0.25">
      <c r="A133" t="s">
        <v>182</v>
      </c>
    </row>
    <row r="134" spans="1:1" x14ac:dyDescent="0.25">
      <c r="A134" t="s">
        <v>183</v>
      </c>
    </row>
    <row r="135" spans="1:1" x14ac:dyDescent="0.25">
      <c r="A135" t="s">
        <v>123</v>
      </c>
    </row>
    <row r="137" spans="1:1" x14ac:dyDescent="0.25">
      <c r="A137" t="s">
        <v>184</v>
      </c>
    </row>
    <row r="138" spans="1:1" x14ac:dyDescent="0.25">
      <c r="A138" t="s">
        <v>185</v>
      </c>
    </row>
    <row r="139" spans="1:1" x14ac:dyDescent="0.25">
      <c r="A139" t="s">
        <v>186</v>
      </c>
    </row>
    <row r="140" spans="1:1" x14ac:dyDescent="0.25">
      <c r="A140" t="s">
        <v>187</v>
      </c>
    </row>
    <row r="141" spans="1:1" x14ac:dyDescent="0.25">
      <c r="A141" t="s">
        <v>188</v>
      </c>
    </row>
    <row r="142" spans="1:1" x14ac:dyDescent="0.25">
      <c r="A142" t="s">
        <v>189</v>
      </c>
    </row>
    <row r="144" spans="1:1" x14ac:dyDescent="0.25">
      <c r="A144" t="s">
        <v>190</v>
      </c>
    </row>
    <row r="145" spans="1:1" x14ac:dyDescent="0.25">
      <c r="A145" t="s">
        <v>191</v>
      </c>
    </row>
    <row r="146" spans="1:1" x14ac:dyDescent="0.25">
      <c r="A146" t="s">
        <v>147</v>
      </c>
    </row>
    <row r="147" spans="1:1" x14ac:dyDescent="0.25">
      <c r="A147" t="s">
        <v>192</v>
      </c>
    </row>
    <row r="148" spans="1:1" x14ac:dyDescent="0.25">
      <c r="A148" t="s">
        <v>193</v>
      </c>
    </row>
    <row r="149" spans="1:1" x14ac:dyDescent="0.25">
      <c r="A149" t="s">
        <v>151</v>
      </c>
    </row>
    <row r="150" spans="1:1" x14ac:dyDescent="0.25">
      <c r="A150" t="s">
        <v>121</v>
      </c>
    </row>
    <row r="151" spans="1:1" x14ac:dyDescent="0.25">
      <c r="A151" t="s">
        <v>151</v>
      </c>
    </row>
    <row r="152" spans="1:1" x14ac:dyDescent="0.25">
      <c r="A152" t="s">
        <v>156</v>
      </c>
    </row>
    <row r="153" spans="1:1" x14ac:dyDescent="0.25">
      <c r="A153" t="s">
        <v>152</v>
      </c>
    </row>
    <row r="155" spans="1:1" x14ac:dyDescent="0.25">
      <c r="A155" t="s">
        <v>194</v>
      </c>
    </row>
    <row r="156" spans="1:1" x14ac:dyDescent="0.25">
      <c r="A156" t="s">
        <v>128</v>
      </c>
    </row>
    <row r="157" spans="1:1" x14ac:dyDescent="0.25">
      <c r="A157" t="s">
        <v>195</v>
      </c>
    </row>
    <row r="158" spans="1:1" x14ac:dyDescent="0.25">
      <c r="A158" t="s">
        <v>196</v>
      </c>
    </row>
    <row r="159" spans="1:1" x14ac:dyDescent="0.25">
      <c r="A159" t="s">
        <v>197</v>
      </c>
    </row>
    <row r="160" spans="1:1" x14ac:dyDescent="0.25">
      <c r="A160" t="s">
        <v>139</v>
      </c>
    </row>
    <row r="161" spans="1:1" x14ac:dyDescent="0.25">
      <c r="A161" t="s">
        <v>123</v>
      </c>
    </row>
    <row r="163" spans="1:1" x14ac:dyDescent="0.25">
      <c r="A163" t="s">
        <v>198</v>
      </c>
    </row>
    <row r="164" spans="1:1" x14ac:dyDescent="0.25">
      <c r="A164" t="s">
        <v>196</v>
      </c>
    </row>
    <row r="165" spans="1:1" x14ac:dyDescent="0.25">
      <c r="A165" t="s">
        <v>197</v>
      </c>
    </row>
    <row r="166" spans="1:1" x14ac:dyDescent="0.25">
      <c r="A166" t="s">
        <v>139</v>
      </c>
    </row>
    <row r="167" spans="1:1" x14ac:dyDescent="0.25">
      <c r="A167" t="s">
        <v>123</v>
      </c>
    </row>
    <row r="168" spans="1:1" x14ac:dyDescent="0.25">
      <c r="A168" t="s">
        <v>128</v>
      </c>
    </row>
    <row r="169" spans="1:1" x14ac:dyDescent="0.25">
      <c r="A169" t="s">
        <v>199</v>
      </c>
    </row>
    <row r="170" spans="1:1" x14ac:dyDescent="0.25">
      <c r="A170" t="s">
        <v>200</v>
      </c>
    </row>
    <row r="171" spans="1:1" x14ac:dyDescent="0.25">
      <c r="A171" t="s">
        <v>201</v>
      </c>
    </row>
    <row r="172" spans="1:1" x14ac:dyDescent="0.25">
      <c r="A172" t="s">
        <v>202</v>
      </c>
    </row>
    <row r="173" spans="1:1" x14ac:dyDescent="0.25">
      <c r="A173" t="s">
        <v>203</v>
      </c>
    </row>
    <row r="175" spans="1:1" x14ac:dyDescent="0.25">
      <c r="A175" t="s">
        <v>204</v>
      </c>
    </row>
    <row r="177" spans="1:1" x14ac:dyDescent="0.25">
      <c r="A177" t="s">
        <v>205</v>
      </c>
    </row>
    <row r="179" spans="1:1" x14ac:dyDescent="0.25">
      <c r="A179" t="s">
        <v>206</v>
      </c>
    </row>
    <row r="180" spans="1:1" x14ac:dyDescent="0.25">
      <c r="A180" t="s">
        <v>207</v>
      </c>
    </row>
    <row r="181" spans="1:1" x14ac:dyDescent="0.25">
      <c r="A181" t="s">
        <v>208</v>
      </c>
    </row>
    <row r="182" spans="1:1" x14ac:dyDescent="0.25">
      <c r="A182" t="s">
        <v>209</v>
      </c>
    </row>
    <row r="183" spans="1:1" x14ac:dyDescent="0.25">
      <c r="A183" t="s">
        <v>210</v>
      </c>
    </row>
    <row r="184" spans="1:1" x14ac:dyDescent="0.25">
      <c r="A184" t="s">
        <v>211</v>
      </c>
    </row>
    <row r="185" spans="1:1" x14ac:dyDescent="0.25">
      <c r="A185" t="s">
        <v>212</v>
      </c>
    </row>
    <row r="186" spans="1:1" x14ac:dyDescent="0.25">
      <c r="A186" t="s">
        <v>213</v>
      </c>
    </row>
    <row r="187" spans="1:1" x14ac:dyDescent="0.25">
      <c r="A187" t="s">
        <v>214</v>
      </c>
    </row>
    <row r="188" spans="1:1" x14ac:dyDescent="0.25">
      <c r="A188" t="s">
        <v>156</v>
      </c>
    </row>
    <row r="189" spans="1:1" x14ac:dyDescent="0.25">
      <c r="A189" t="s">
        <v>215</v>
      </c>
    </row>
    <row r="190" spans="1:1" x14ac:dyDescent="0.25">
      <c r="A190" t="s">
        <v>216</v>
      </c>
    </row>
    <row r="191" spans="1:1" x14ac:dyDescent="0.25">
      <c r="A191" t="s">
        <v>217</v>
      </c>
    </row>
    <row r="192" spans="1:1" x14ac:dyDescent="0.25">
      <c r="A192" t="s">
        <v>218</v>
      </c>
    </row>
    <row r="193" spans="1:1" x14ac:dyDescent="0.25">
      <c r="A193" t="s">
        <v>219</v>
      </c>
    </row>
    <row r="194" spans="1:1" x14ac:dyDescent="0.25">
      <c r="A194" t="s">
        <v>156</v>
      </c>
    </row>
    <row r="195" spans="1:1" x14ac:dyDescent="0.25">
      <c r="A195" t="s">
        <v>220</v>
      </c>
    </row>
    <row r="196" spans="1:1" x14ac:dyDescent="0.25">
      <c r="A196" t="s">
        <v>221</v>
      </c>
    </row>
    <row r="197" spans="1:1" x14ac:dyDescent="0.25">
      <c r="A197" t="s">
        <v>156</v>
      </c>
    </row>
    <row r="198" spans="1:1" x14ac:dyDescent="0.25">
      <c r="A198" t="s">
        <v>222</v>
      </c>
    </row>
    <row r="199" spans="1:1" x14ac:dyDescent="0.25">
      <c r="A199" t="s">
        <v>223</v>
      </c>
    </row>
    <row r="200" spans="1:1" x14ac:dyDescent="0.25">
      <c r="A200" t="s">
        <v>224</v>
      </c>
    </row>
    <row r="201" spans="1:1" x14ac:dyDescent="0.25">
      <c r="A201" t="s">
        <v>225</v>
      </c>
    </row>
    <row r="202" spans="1:1" x14ac:dyDescent="0.25">
      <c r="A202" t="s">
        <v>226</v>
      </c>
    </row>
    <row r="203" spans="1:1" x14ac:dyDescent="0.25">
      <c r="A203" t="s">
        <v>156</v>
      </c>
    </row>
    <row r="204" spans="1:1" x14ac:dyDescent="0.25">
      <c r="A204" t="s">
        <v>227</v>
      </c>
    </row>
    <row r="205" spans="1:1" x14ac:dyDescent="0.25">
      <c r="A205" t="s">
        <v>228</v>
      </c>
    </row>
    <row r="206" spans="1:1" x14ac:dyDescent="0.25">
      <c r="A206" t="s">
        <v>229</v>
      </c>
    </row>
    <row r="207" spans="1:1" x14ac:dyDescent="0.25">
      <c r="A207" t="s">
        <v>156</v>
      </c>
    </row>
    <row r="208" spans="1:1" x14ac:dyDescent="0.25">
      <c r="A208" s="45" t="s">
        <v>230</v>
      </c>
    </row>
    <row r="209" spans="1:1" x14ac:dyDescent="0.25">
      <c r="A209" t="s">
        <v>231</v>
      </c>
    </row>
    <row r="210" spans="1:1" x14ac:dyDescent="0.25">
      <c r="A210" t="s">
        <v>232</v>
      </c>
    </row>
    <row r="211" spans="1:1" x14ac:dyDescent="0.25">
      <c r="A211" t="s">
        <v>156</v>
      </c>
    </row>
    <row r="212" spans="1:1" x14ac:dyDescent="0.25">
      <c r="A212" t="s">
        <v>146</v>
      </c>
    </row>
    <row r="213" spans="1:1" x14ac:dyDescent="0.25">
      <c r="A213" t="s">
        <v>233</v>
      </c>
    </row>
    <row r="214" spans="1:1" x14ac:dyDescent="0.25">
      <c r="A214" t="s">
        <v>234</v>
      </c>
    </row>
    <row r="215" spans="1:1" x14ac:dyDescent="0.25">
      <c r="A215" s="45" t="s">
        <v>355</v>
      </c>
    </row>
    <row r="216" spans="1:1" x14ac:dyDescent="0.25">
      <c r="A216" t="s">
        <v>159</v>
      </c>
    </row>
    <row r="217" spans="1:1" x14ac:dyDescent="0.25">
      <c r="A217" t="s">
        <v>235</v>
      </c>
    </row>
    <row r="218" spans="1:1" x14ac:dyDescent="0.25">
      <c r="A218" t="s">
        <v>236</v>
      </c>
    </row>
    <row r="219" spans="1:1" x14ac:dyDescent="0.25">
      <c r="A219" t="s">
        <v>237</v>
      </c>
    </row>
    <row r="220" spans="1:1" x14ac:dyDescent="0.25">
      <c r="A220" t="s">
        <v>238</v>
      </c>
    </row>
    <row r="221" spans="1:1" x14ac:dyDescent="0.25">
      <c r="A221" t="s">
        <v>239</v>
      </c>
    </row>
    <row r="222" spans="1:1" x14ac:dyDescent="0.25">
      <c r="A222" t="s">
        <v>170</v>
      </c>
    </row>
    <row r="223" spans="1:1" x14ac:dyDescent="0.25">
      <c r="A223" t="s">
        <v>240</v>
      </c>
    </row>
    <row r="224" spans="1:1" x14ac:dyDescent="0.25">
      <c r="A224" t="s">
        <v>176</v>
      </c>
    </row>
    <row r="225" spans="1:1" x14ac:dyDescent="0.25">
      <c r="A225" t="s">
        <v>241</v>
      </c>
    </row>
    <row r="226" spans="1:1" x14ac:dyDescent="0.25">
      <c r="A226" t="s">
        <v>242</v>
      </c>
    </row>
    <row r="227" spans="1:1" x14ac:dyDescent="0.25">
      <c r="A227" t="s">
        <v>243</v>
      </c>
    </row>
    <row r="228" spans="1:1" x14ac:dyDescent="0.25">
      <c r="A228" t="s">
        <v>244</v>
      </c>
    </row>
    <row r="229" spans="1:1" x14ac:dyDescent="0.25">
      <c r="A229" t="s">
        <v>245</v>
      </c>
    </row>
    <row r="230" spans="1:1" x14ac:dyDescent="0.25">
      <c r="A230" t="s">
        <v>246</v>
      </c>
    </row>
    <row r="231" spans="1:1" x14ac:dyDescent="0.25">
      <c r="A231" t="s">
        <v>247</v>
      </c>
    </row>
    <row r="232" spans="1:1" x14ac:dyDescent="0.25">
      <c r="A232" t="s">
        <v>248</v>
      </c>
    </row>
    <row r="233" spans="1:1" x14ac:dyDescent="0.25">
      <c r="A233" t="s">
        <v>249</v>
      </c>
    </row>
    <row r="234" spans="1:1" x14ac:dyDescent="0.25">
      <c r="A234" t="s">
        <v>250</v>
      </c>
    </row>
    <row r="235" spans="1:1" x14ac:dyDescent="0.25">
      <c r="A235" t="s">
        <v>246</v>
      </c>
    </row>
    <row r="236" spans="1:1" x14ac:dyDescent="0.25">
      <c r="A236" t="s">
        <v>245</v>
      </c>
    </row>
    <row r="237" spans="1:1" x14ac:dyDescent="0.25">
      <c r="A237" t="s">
        <v>251</v>
      </c>
    </row>
    <row r="238" spans="1:1" x14ac:dyDescent="0.25">
      <c r="A238" t="s">
        <v>252</v>
      </c>
    </row>
    <row r="239" spans="1:1" x14ac:dyDescent="0.25">
      <c r="A239" t="s">
        <v>146</v>
      </c>
    </row>
    <row r="240" spans="1:1" x14ac:dyDescent="0.25">
      <c r="A240" s="45" t="s">
        <v>208</v>
      </c>
    </row>
    <row r="241" spans="1:1" x14ac:dyDescent="0.25">
      <c r="A241" t="s">
        <v>253</v>
      </c>
    </row>
    <row r="242" spans="1:1" x14ac:dyDescent="0.25">
      <c r="A242" t="s">
        <v>146</v>
      </c>
    </row>
    <row r="243" spans="1:1" x14ac:dyDescent="0.25">
      <c r="A243" t="s">
        <v>254</v>
      </c>
    </row>
    <row r="244" spans="1:1" x14ac:dyDescent="0.25">
      <c r="A244" t="s">
        <v>255</v>
      </c>
    </row>
    <row r="245" spans="1:1" x14ac:dyDescent="0.25">
      <c r="A245" s="45" t="s">
        <v>341</v>
      </c>
    </row>
    <row r="246" spans="1:1" x14ac:dyDescent="0.25">
      <c r="A246" t="s">
        <v>159</v>
      </c>
    </row>
    <row r="247" spans="1:1" x14ac:dyDescent="0.25">
      <c r="A247" t="s">
        <v>256</v>
      </c>
    </row>
    <row r="248" spans="1:1" x14ac:dyDescent="0.25">
      <c r="A248" t="s">
        <v>257</v>
      </c>
    </row>
    <row r="249" spans="1:1" x14ac:dyDescent="0.25">
      <c r="A249" t="s">
        <v>258</v>
      </c>
    </row>
    <row r="250" spans="1:1" x14ac:dyDescent="0.25">
      <c r="A250" t="s">
        <v>259</v>
      </c>
    </row>
    <row r="251" spans="1:1" x14ac:dyDescent="0.25">
      <c r="A251" t="s">
        <v>260</v>
      </c>
    </row>
    <row r="252" spans="1:1" x14ac:dyDescent="0.25">
      <c r="A252" t="s">
        <v>261</v>
      </c>
    </row>
    <row r="253" spans="1:1" x14ac:dyDescent="0.25">
      <c r="A253" t="s">
        <v>262</v>
      </c>
    </row>
    <row r="254" spans="1:1" x14ac:dyDescent="0.25">
      <c r="A254" t="s">
        <v>263</v>
      </c>
    </row>
    <row r="255" spans="1:1" x14ac:dyDescent="0.25">
      <c r="A255" t="s">
        <v>264</v>
      </c>
    </row>
    <row r="256" spans="1:1" x14ac:dyDescent="0.25">
      <c r="A256" t="s">
        <v>251</v>
      </c>
    </row>
    <row r="257" spans="1:1" x14ac:dyDescent="0.25">
      <c r="A257" t="s">
        <v>241</v>
      </c>
    </row>
    <row r="258" spans="1:1" x14ac:dyDescent="0.25">
      <c r="A258" t="s">
        <v>265</v>
      </c>
    </row>
    <row r="259" spans="1:1" x14ac:dyDescent="0.25">
      <c r="A259" t="s">
        <v>243</v>
      </c>
    </row>
    <row r="260" spans="1:1" x14ac:dyDescent="0.25">
      <c r="A260" t="s">
        <v>244</v>
      </c>
    </row>
    <row r="261" spans="1:1" x14ac:dyDescent="0.25">
      <c r="A261" t="s">
        <v>245</v>
      </c>
    </row>
    <row r="262" spans="1:1" x14ac:dyDescent="0.25">
      <c r="A262" t="s">
        <v>246</v>
      </c>
    </row>
    <row r="263" spans="1:1" x14ac:dyDescent="0.25">
      <c r="A263" t="s">
        <v>247</v>
      </c>
    </row>
    <row r="264" spans="1:1" x14ac:dyDescent="0.25">
      <c r="A264" t="s">
        <v>248</v>
      </c>
    </row>
    <row r="265" spans="1:1" x14ac:dyDescent="0.25">
      <c r="A265" t="s">
        <v>266</v>
      </c>
    </row>
    <row r="266" spans="1:1" x14ac:dyDescent="0.25">
      <c r="A266" t="s">
        <v>246</v>
      </c>
    </row>
    <row r="267" spans="1:1" x14ac:dyDescent="0.25">
      <c r="A267" t="s">
        <v>245</v>
      </c>
    </row>
    <row r="268" spans="1:1" x14ac:dyDescent="0.25">
      <c r="A268" t="s">
        <v>251</v>
      </c>
    </row>
    <row r="269" spans="1:1" x14ac:dyDescent="0.25">
      <c r="A269" t="s">
        <v>252</v>
      </c>
    </row>
    <row r="270" spans="1:1" x14ac:dyDescent="0.25">
      <c r="A270" s="45" t="s">
        <v>146</v>
      </c>
    </row>
    <row r="271" spans="1:1" x14ac:dyDescent="0.25">
      <c r="A271" t="s">
        <v>267</v>
      </c>
    </row>
    <row r="272" spans="1:1" x14ac:dyDescent="0.25">
      <c r="A272" t="s">
        <v>268</v>
      </c>
    </row>
    <row r="273" spans="1:1" x14ac:dyDescent="0.25">
      <c r="A273" s="45" t="s">
        <v>356</v>
      </c>
    </row>
    <row r="274" spans="1:1" x14ac:dyDescent="0.25">
      <c r="A274" t="s">
        <v>159</v>
      </c>
    </row>
    <row r="275" spans="1:1" x14ac:dyDescent="0.25">
      <c r="A275" t="s">
        <v>235</v>
      </c>
    </row>
    <row r="276" spans="1:1" x14ac:dyDescent="0.25">
      <c r="A276" t="s">
        <v>236</v>
      </c>
    </row>
    <row r="277" spans="1:1" x14ac:dyDescent="0.25">
      <c r="A277" t="s">
        <v>237</v>
      </c>
    </row>
    <row r="278" spans="1:1" x14ac:dyDescent="0.25">
      <c r="A278" t="s">
        <v>269</v>
      </c>
    </row>
    <row r="279" spans="1:1" x14ac:dyDescent="0.25">
      <c r="A279" t="s">
        <v>239</v>
      </c>
    </row>
    <row r="280" spans="1:1" x14ac:dyDescent="0.25">
      <c r="A280" t="s">
        <v>170</v>
      </c>
    </row>
    <row r="281" spans="1:1" x14ac:dyDescent="0.25">
      <c r="A281" t="s">
        <v>240</v>
      </c>
    </row>
    <row r="282" spans="1:1" x14ac:dyDescent="0.25">
      <c r="A282" t="s">
        <v>176</v>
      </c>
    </row>
    <row r="283" spans="1:1" x14ac:dyDescent="0.25">
      <c r="A283" t="s">
        <v>270</v>
      </c>
    </row>
    <row r="284" spans="1:1" x14ac:dyDescent="0.25">
      <c r="A284" t="s">
        <v>271</v>
      </c>
    </row>
    <row r="285" spans="1:1" x14ac:dyDescent="0.25">
      <c r="A285" t="s">
        <v>272</v>
      </c>
    </row>
    <row r="286" spans="1:1" x14ac:dyDescent="0.25">
      <c r="A286" t="s">
        <v>273</v>
      </c>
    </row>
    <row r="287" spans="1:1" x14ac:dyDescent="0.25">
      <c r="A287" t="s">
        <v>252</v>
      </c>
    </row>
    <row r="288" spans="1:1" x14ac:dyDescent="0.25">
      <c r="A288" t="s">
        <v>146</v>
      </c>
    </row>
    <row r="289" spans="1:1" x14ac:dyDescent="0.25">
      <c r="A289" t="s">
        <v>208</v>
      </c>
    </row>
    <row r="290" spans="1:1" x14ac:dyDescent="0.25">
      <c r="A290" t="s">
        <v>253</v>
      </c>
    </row>
    <row r="291" spans="1:1" x14ac:dyDescent="0.25">
      <c r="A291" s="45" t="s">
        <v>146</v>
      </c>
    </row>
    <row r="292" spans="1:1" x14ac:dyDescent="0.25">
      <c r="A292" t="s">
        <v>274</v>
      </c>
    </row>
    <row r="293" spans="1:1" x14ac:dyDescent="0.25">
      <c r="A293" t="s">
        <v>234</v>
      </c>
    </row>
    <row r="294" spans="1:1" x14ac:dyDescent="0.25">
      <c r="A294" s="45" t="s">
        <v>340</v>
      </c>
    </row>
    <row r="295" spans="1:1" x14ac:dyDescent="0.25">
      <c r="A295" t="s">
        <v>159</v>
      </c>
    </row>
    <row r="296" spans="1:1" x14ac:dyDescent="0.25">
      <c r="A296" t="s">
        <v>235</v>
      </c>
    </row>
    <row r="297" spans="1:1" x14ac:dyDescent="0.25">
      <c r="A297" t="s">
        <v>236</v>
      </c>
    </row>
    <row r="298" spans="1:1" x14ac:dyDescent="0.25">
      <c r="A298" t="s">
        <v>237</v>
      </c>
    </row>
    <row r="299" spans="1:1" x14ac:dyDescent="0.25">
      <c r="A299" t="s">
        <v>275</v>
      </c>
    </row>
    <row r="300" spans="1:1" x14ac:dyDescent="0.25">
      <c r="A300" t="s">
        <v>239</v>
      </c>
    </row>
    <row r="301" spans="1:1" x14ac:dyDescent="0.25">
      <c r="A301" t="s">
        <v>170</v>
      </c>
    </row>
    <row r="302" spans="1:1" x14ac:dyDescent="0.25">
      <c r="A302" t="s">
        <v>240</v>
      </c>
    </row>
    <row r="303" spans="1:1" x14ac:dyDescent="0.25">
      <c r="A303" t="s">
        <v>176</v>
      </c>
    </row>
    <row r="304" spans="1:1" x14ac:dyDescent="0.25">
      <c r="A304" t="s">
        <v>241</v>
      </c>
    </row>
    <row r="305" spans="1:1" x14ac:dyDescent="0.25">
      <c r="A305" t="s">
        <v>276</v>
      </c>
    </row>
    <row r="306" spans="1:1" x14ac:dyDescent="0.25">
      <c r="A306" t="s">
        <v>243</v>
      </c>
    </row>
    <row r="307" spans="1:1" x14ac:dyDescent="0.25">
      <c r="A307" t="s">
        <v>244</v>
      </c>
    </row>
    <row r="308" spans="1:1" x14ac:dyDescent="0.25">
      <c r="A308" t="s">
        <v>245</v>
      </c>
    </row>
    <row r="309" spans="1:1" x14ac:dyDescent="0.25">
      <c r="A309" t="s">
        <v>246</v>
      </c>
    </row>
    <row r="310" spans="1:1" x14ac:dyDescent="0.25">
      <c r="A310" t="s">
        <v>247</v>
      </c>
    </row>
    <row r="311" spans="1:1" x14ac:dyDescent="0.25">
      <c r="A311" t="s">
        <v>248</v>
      </c>
    </row>
    <row r="312" spans="1:1" x14ac:dyDescent="0.25">
      <c r="A312" t="s">
        <v>277</v>
      </c>
    </row>
    <row r="313" spans="1:1" x14ac:dyDescent="0.25">
      <c r="A313" t="s">
        <v>278</v>
      </c>
    </row>
    <row r="314" spans="1:1" x14ac:dyDescent="0.25">
      <c r="A314" t="s">
        <v>246</v>
      </c>
    </row>
    <row r="315" spans="1:1" x14ac:dyDescent="0.25">
      <c r="A315" t="s">
        <v>245</v>
      </c>
    </row>
    <row r="316" spans="1:1" x14ac:dyDescent="0.25">
      <c r="A316" t="s">
        <v>251</v>
      </c>
    </row>
    <row r="317" spans="1:1" x14ac:dyDescent="0.25">
      <c r="A317" t="s">
        <v>252</v>
      </c>
    </row>
    <row r="318" spans="1:1" x14ac:dyDescent="0.25">
      <c r="A318" t="s">
        <v>146</v>
      </c>
    </row>
    <row r="319" spans="1:1" x14ac:dyDescent="0.25">
      <c r="A319" t="s">
        <v>208</v>
      </c>
    </row>
    <row r="320" spans="1:1" x14ac:dyDescent="0.25">
      <c r="A320" t="s">
        <v>253</v>
      </c>
    </row>
    <row r="321" spans="1:1" x14ac:dyDescent="0.25">
      <c r="A321" t="s">
        <v>146</v>
      </c>
    </row>
    <row r="322" spans="1:1" x14ac:dyDescent="0.25">
      <c r="A322" t="s">
        <v>279</v>
      </c>
    </row>
    <row r="323" spans="1:1" x14ac:dyDescent="0.25">
      <c r="A323" s="45" t="s">
        <v>255</v>
      </c>
    </row>
    <row r="324" spans="1:1" x14ac:dyDescent="0.25">
      <c r="A324" s="45" t="s">
        <v>357</v>
      </c>
    </row>
    <row r="325" spans="1:1" x14ac:dyDescent="0.25">
      <c r="A325" t="s">
        <v>159</v>
      </c>
    </row>
    <row r="326" spans="1:1" x14ac:dyDescent="0.25">
      <c r="A326" t="s">
        <v>256</v>
      </c>
    </row>
    <row r="327" spans="1:1" x14ac:dyDescent="0.25">
      <c r="A327" t="s">
        <v>257</v>
      </c>
    </row>
    <row r="328" spans="1:1" x14ac:dyDescent="0.25">
      <c r="A328" t="s">
        <v>258</v>
      </c>
    </row>
    <row r="329" spans="1:1" x14ac:dyDescent="0.25">
      <c r="A329" t="s">
        <v>259</v>
      </c>
    </row>
    <row r="330" spans="1:1" x14ac:dyDescent="0.25">
      <c r="A330" t="s">
        <v>280</v>
      </c>
    </row>
    <row r="331" spans="1:1" x14ac:dyDescent="0.25">
      <c r="A331" t="s">
        <v>261</v>
      </c>
    </row>
    <row r="332" spans="1:1" x14ac:dyDescent="0.25">
      <c r="A332" t="s">
        <v>262</v>
      </c>
    </row>
    <row r="333" spans="1:1" x14ac:dyDescent="0.25">
      <c r="A333" t="s">
        <v>263</v>
      </c>
    </row>
    <row r="334" spans="1:1" x14ac:dyDescent="0.25">
      <c r="A334" t="s">
        <v>264</v>
      </c>
    </row>
    <row r="335" spans="1:1" x14ac:dyDescent="0.25">
      <c r="A335" t="s">
        <v>251</v>
      </c>
    </row>
    <row r="336" spans="1:1" x14ac:dyDescent="0.25">
      <c r="A336" t="s">
        <v>241</v>
      </c>
    </row>
    <row r="337" spans="1:1" x14ac:dyDescent="0.25">
      <c r="A337" t="s">
        <v>281</v>
      </c>
    </row>
    <row r="338" spans="1:1" x14ac:dyDescent="0.25">
      <c r="A338" t="s">
        <v>243</v>
      </c>
    </row>
    <row r="339" spans="1:1" x14ac:dyDescent="0.25">
      <c r="A339" t="s">
        <v>244</v>
      </c>
    </row>
    <row r="340" spans="1:1" x14ac:dyDescent="0.25">
      <c r="A340" t="s">
        <v>245</v>
      </c>
    </row>
    <row r="341" spans="1:1" x14ac:dyDescent="0.25">
      <c r="A341" t="s">
        <v>246</v>
      </c>
    </row>
    <row r="342" spans="1:1" x14ac:dyDescent="0.25">
      <c r="A342" t="s">
        <v>247</v>
      </c>
    </row>
    <row r="343" spans="1:1" x14ac:dyDescent="0.25">
      <c r="A343" t="s">
        <v>248</v>
      </c>
    </row>
    <row r="344" spans="1:1" x14ac:dyDescent="0.25">
      <c r="A344" t="s">
        <v>282</v>
      </c>
    </row>
    <row r="345" spans="1:1" x14ac:dyDescent="0.25">
      <c r="A345" t="s">
        <v>246</v>
      </c>
    </row>
    <row r="346" spans="1:1" x14ac:dyDescent="0.25">
      <c r="A346" t="s">
        <v>245</v>
      </c>
    </row>
    <row r="347" spans="1:1" x14ac:dyDescent="0.25">
      <c r="A347" t="s">
        <v>251</v>
      </c>
    </row>
    <row r="348" spans="1:1" x14ac:dyDescent="0.25">
      <c r="A348" t="s">
        <v>252</v>
      </c>
    </row>
    <row r="349" spans="1:1" x14ac:dyDescent="0.25">
      <c r="A349" t="s">
        <v>146</v>
      </c>
    </row>
    <row r="350" spans="1:1" x14ac:dyDescent="0.25">
      <c r="A350" t="s">
        <v>283</v>
      </c>
    </row>
    <row r="351" spans="1:1" x14ac:dyDescent="0.25">
      <c r="A351" t="s">
        <v>284</v>
      </c>
    </row>
    <row r="352" spans="1:1" x14ac:dyDescent="0.25">
      <c r="A352" s="45" t="s">
        <v>358</v>
      </c>
    </row>
    <row r="353" spans="1:1" x14ac:dyDescent="0.25">
      <c r="A353" s="45" t="s">
        <v>159</v>
      </c>
    </row>
    <row r="354" spans="1:1" x14ac:dyDescent="0.25">
      <c r="A354" t="s">
        <v>235</v>
      </c>
    </row>
    <row r="355" spans="1:1" x14ac:dyDescent="0.25">
      <c r="A355" t="s">
        <v>236</v>
      </c>
    </row>
    <row r="356" spans="1:1" x14ac:dyDescent="0.25">
      <c r="A356" t="s">
        <v>237</v>
      </c>
    </row>
    <row r="357" spans="1:1" x14ac:dyDescent="0.25">
      <c r="A357" t="s">
        <v>285</v>
      </c>
    </row>
    <row r="358" spans="1:1" x14ac:dyDescent="0.25">
      <c r="A358" t="s">
        <v>239</v>
      </c>
    </row>
    <row r="359" spans="1:1" x14ac:dyDescent="0.25">
      <c r="A359" t="s">
        <v>170</v>
      </c>
    </row>
    <row r="360" spans="1:1" x14ac:dyDescent="0.25">
      <c r="A360" t="s">
        <v>240</v>
      </c>
    </row>
    <row r="361" spans="1:1" x14ac:dyDescent="0.25">
      <c r="A361" t="s">
        <v>176</v>
      </c>
    </row>
    <row r="362" spans="1:1" x14ac:dyDescent="0.25">
      <c r="A362" t="s">
        <v>270</v>
      </c>
    </row>
    <row r="363" spans="1:1" x14ac:dyDescent="0.25">
      <c r="A363" t="s">
        <v>271</v>
      </c>
    </row>
    <row r="364" spans="1:1" x14ac:dyDescent="0.25">
      <c r="A364" t="s">
        <v>272</v>
      </c>
    </row>
    <row r="365" spans="1:1" x14ac:dyDescent="0.25">
      <c r="A365" t="s">
        <v>273</v>
      </c>
    </row>
    <row r="366" spans="1:1" x14ac:dyDescent="0.25">
      <c r="A366" t="s">
        <v>252</v>
      </c>
    </row>
    <row r="368" spans="1:1" x14ac:dyDescent="0.25">
      <c r="A368" t="s">
        <v>123</v>
      </c>
    </row>
    <row r="371" spans="1:1" x14ac:dyDescent="0.25">
      <c r="A371" t="s">
        <v>286</v>
      </c>
    </row>
    <row r="373" spans="1:1" x14ac:dyDescent="0.25">
      <c r="A373" t="s">
        <v>287</v>
      </c>
    </row>
    <row r="374" spans="1:1" x14ac:dyDescent="0.25">
      <c r="A374" t="s">
        <v>207</v>
      </c>
    </row>
    <row r="375" spans="1:1" x14ac:dyDescent="0.25">
      <c r="A375" t="s">
        <v>208</v>
      </c>
    </row>
    <row r="376" spans="1:1" x14ac:dyDescent="0.25">
      <c r="A376" t="s">
        <v>209</v>
      </c>
    </row>
    <row r="377" spans="1:1" x14ac:dyDescent="0.25">
      <c r="A377" t="s">
        <v>210</v>
      </c>
    </row>
    <row r="378" spans="1:1" x14ac:dyDescent="0.25">
      <c r="A378" t="s">
        <v>216</v>
      </c>
    </row>
    <row r="379" spans="1:1" x14ac:dyDescent="0.25">
      <c r="A379" t="s">
        <v>212</v>
      </c>
    </row>
    <row r="380" spans="1:1" x14ac:dyDescent="0.25">
      <c r="A380" t="s">
        <v>213</v>
      </c>
    </row>
    <row r="381" spans="1:1" x14ac:dyDescent="0.25">
      <c r="A381" t="s">
        <v>214</v>
      </c>
    </row>
    <row r="382" spans="1:1" x14ac:dyDescent="0.25">
      <c r="A382" t="s">
        <v>156</v>
      </c>
    </row>
    <row r="383" spans="1:1" x14ac:dyDescent="0.25">
      <c r="A383" t="s">
        <v>215</v>
      </c>
    </row>
    <row r="384" spans="1:1" x14ac:dyDescent="0.25">
      <c r="A384" t="s">
        <v>216</v>
      </c>
    </row>
    <row r="385" spans="1:1" x14ac:dyDescent="0.25">
      <c r="A385" t="s">
        <v>217</v>
      </c>
    </row>
    <row r="386" spans="1:1" x14ac:dyDescent="0.25">
      <c r="A386" t="s">
        <v>218</v>
      </c>
    </row>
    <row r="387" spans="1:1" x14ac:dyDescent="0.25">
      <c r="A387" t="s">
        <v>219</v>
      </c>
    </row>
    <row r="388" spans="1:1" x14ac:dyDescent="0.25">
      <c r="A388" t="s">
        <v>156</v>
      </c>
    </row>
    <row r="389" spans="1:1" x14ac:dyDescent="0.25">
      <c r="A389" t="s">
        <v>220</v>
      </c>
    </row>
    <row r="390" spans="1:1" x14ac:dyDescent="0.25">
      <c r="A390" t="s">
        <v>221</v>
      </c>
    </row>
    <row r="391" spans="1:1" x14ac:dyDescent="0.25">
      <c r="A391" t="s">
        <v>156</v>
      </c>
    </row>
    <row r="392" spans="1:1" x14ac:dyDescent="0.25">
      <c r="A392" t="s">
        <v>288</v>
      </c>
    </row>
    <row r="393" spans="1:1" x14ac:dyDescent="0.25">
      <c r="A393" t="s">
        <v>223</v>
      </c>
    </row>
    <row r="394" spans="1:1" x14ac:dyDescent="0.25">
      <c r="A394" t="s">
        <v>224</v>
      </c>
    </row>
    <row r="395" spans="1:1" x14ac:dyDescent="0.25">
      <c r="A395" t="s">
        <v>225</v>
      </c>
    </row>
    <row r="396" spans="1:1" x14ac:dyDescent="0.25">
      <c r="A396" t="s">
        <v>226</v>
      </c>
    </row>
    <row r="397" spans="1:1" x14ac:dyDescent="0.25">
      <c r="A397" t="s">
        <v>156</v>
      </c>
    </row>
    <row r="398" spans="1:1" x14ac:dyDescent="0.25">
      <c r="A398" t="s">
        <v>289</v>
      </c>
    </row>
    <row r="399" spans="1:1" x14ac:dyDescent="0.25">
      <c r="A399" t="s">
        <v>290</v>
      </c>
    </row>
    <row r="400" spans="1:1" x14ac:dyDescent="0.25">
      <c r="A400" t="s">
        <v>291</v>
      </c>
    </row>
    <row r="401" spans="1:1" x14ac:dyDescent="0.25">
      <c r="A401" t="s">
        <v>292</v>
      </c>
    </row>
    <row r="402" spans="1:1" x14ac:dyDescent="0.25">
      <c r="A402" t="s">
        <v>146</v>
      </c>
    </row>
    <row r="403" spans="1:1" x14ac:dyDescent="0.25">
      <c r="A403" t="s">
        <v>293</v>
      </c>
    </row>
    <row r="404" spans="1:1" x14ac:dyDescent="0.25">
      <c r="A404" t="s">
        <v>294</v>
      </c>
    </row>
    <row r="405" spans="1:1" x14ac:dyDescent="0.25">
      <c r="A405" s="45" t="s">
        <v>359</v>
      </c>
    </row>
    <row r="406" spans="1:1" x14ac:dyDescent="0.25">
      <c r="A406" s="45" t="s">
        <v>159</v>
      </c>
    </row>
    <row r="407" spans="1:1" x14ac:dyDescent="0.25">
      <c r="A407" t="s">
        <v>295</v>
      </c>
    </row>
    <row r="408" spans="1:1" x14ac:dyDescent="0.25">
      <c r="A408" t="s">
        <v>235</v>
      </c>
    </row>
    <row r="409" spans="1:1" x14ac:dyDescent="0.25">
      <c r="A409" t="s">
        <v>236</v>
      </c>
    </row>
    <row r="410" spans="1:1" x14ac:dyDescent="0.25">
      <c r="A410" t="s">
        <v>237</v>
      </c>
    </row>
    <row r="411" spans="1:1" x14ac:dyDescent="0.25">
      <c r="A411" t="s">
        <v>296</v>
      </c>
    </row>
    <row r="412" spans="1:1" x14ac:dyDescent="0.25">
      <c r="A412" t="s">
        <v>239</v>
      </c>
    </row>
    <row r="413" spans="1:1" x14ac:dyDescent="0.25">
      <c r="A413" t="s">
        <v>170</v>
      </c>
    </row>
    <row r="414" spans="1:1" x14ac:dyDescent="0.25">
      <c r="A414" t="s">
        <v>240</v>
      </c>
    </row>
    <row r="415" spans="1:1" x14ac:dyDescent="0.25">
      <c r="A415" t="s">
        <v>176</v>
      </c>
    </row>
    <row r="416" spans="1:1" x14ac:dyDescent="0.25">
      <c r="A416" t="s">
        <v>297</v>
      </c>
    </row>
    <row r="417" spans="1:1" x14ac:dyDescent="0.25">
      <c r="A417" t="s">
        <v>270</v>
      </c>
    </row>
    <row r="418" spans="1:1" x14ac:dyDescent="0.25">
      <c r="A418" t="s">
        <v>271</v>
      </c>
    </row>
    <row r="419" spans="1:1" x14ac:dyDescent="0.25">
      <c r="A419" t="s">
        <v>298</v>
      </c>
    </row>
    <row r="420" spans="1:1" x14ac:dyDescent="0.25">
      <c r="A420" t="s">
        <v>273</v>
      </c>
    </row>
    <row r="421" spans="1:1" x14ac:dyDescent="0.25">
      <c r="A421" t="s">
        <v>176</v>
      </c>
    </row>
    <row r="422" spans="1:1" x14ac:dyDescent="0.25">
      <c r="A422" t="s">
        <v>299</v>
      </c>
    </row>
    <row r="423" spans="1:1" x14ac:dyDescent="0.25">
      <c r="A423" t="s">
        <v>270</v>
      </c>
    </row>
    <row r="424" spans="1:1" x14ac:dyDescent="0.25">
      <c r="A424" t="s">
        <v>271</v>
      </c>
    </row>
    <row r="425" spans="1:1" x14ac:dyDescent="0.25">
      <c r="A425" t="s">
        <v>300</v>
      </c>
    </row>
    <row r="426" spans="1:1" x14ac:dyDescent="0.25">
      <c r="A426" t="s">
        <v>273</v>
      </c>
    </row>
    <row r="427" spans="1:1" x14ac:dyDescent="0.25">
      <c r="A427" t="s">
        <v>251</v>
      </c>
    </row>
    <row r="428" spans="1:1" x14ac:dyDescent="0.25">
      <c r="A428" t="s">
        <v>301</v>
      </c>
    </row>
    <row r="429" spans="1:1" x14ac:dyDescent="0.25">
      <c r="A429" t="s">
        <v>302</v>
      </c>
    </row>
    <row r="430" spans="1:1" x14ac:dyDescent="0.25">
      <c r="A430" t="s">
        <v>128</v>
      </c>
    </row>
    <row r="431" spans="1:1" x14ac:dyDescent="0.25">
      <c r="A431" t="s">
        <v>303</v>
      </c>
    </row>
    <row r="432" spans="1:1" x14ac:dyDescent="0.25">
      <c r="A432" t="s">
        <v>304</v>
      </c>
    </row>
    <row r="433" spans="1:1" x14ac:dyDescent="0.25">
      <c r="A433" s="45" t="s">
        <v>360</v>
      </c>
    </row>
    <row r="434" spans="1:1" x14ac:dyDescent="0.25">
      <c r="A434" s="45" t="s">
        <v>159</v>
      </c>
    </row>
    <row r="435" spans="1:1" x14ac:dyDescent="0.25">
      <c r="A435" t="s">
        <v>295</v>
      </c>
    </row>
    <row r="436" spans="1:1" x14ac:dyDescent="0.25">
      <c r="A436" t="s">
        <v>257</v>
      </c>
    </row>
    <row r="437" spans="1:1" x14ac:dyDescent="0.25">
      <c r="A437" t="s">
        <v>236</v>
      </c>
    </row>
    <row r="438" spans="1:1" x14ac:dyDescent="0.25">
      <c r="A438" t="s">
        <v>237</v>
      </c>
    </row>
    <row r="439" spans="1:1" x14ac:dyDescent="0.25">
      <c r="A439" t="s">
        <v>305</v>
      </c>
    </row>
    <row r="440" spans="1:1" x14ac:dyDescent="0.25">
      <c r="A440" t="s">
        <v>239</v>
      </c>
    </row>
    <row r="441" spans="1:1" x14ac:dyDescent="0.25">
      <c r="A441" t="s">
        <v>170</v>
      </c>
    </row>
    <row r="442" spans="1:1" x14ac:dyDescent="0.25">
      <c r="A442" t="s">
        <v>240</v>
      </c>
    </row>
    <row r="443" spans="1:1" x14ac:dyDescent="0.25">
      <c r="A443" t="s">
        <v>264</v>
      </c>
    </row>
    <row r="444" spans="1:1" x14ac:dyDescent="0.25">
      <c r="A444" t="s">
        <v>306</v>
      </c>
    </row>
    <row r="445" spans="1:1" x14ac:dyDescent="0.25">
      <c r="A445" t="s">
        <v>243</v>
      </c>
    </row>
    <row r="446" spans="1:1" x14ac:dyDescent="0.25">
      <c r="A446" t="s">
        <v>244</v>
      </c>
    </row>
    <row r="447" spans="1:1" x14ac:dyDescent="0.25">
      <c r="A447" t="s">
        <v>246</v>
      </c>
    </row>
    <row r="448" spans="1:1" x14ac:dyDescent="0.25">
      <c r="A448" t="s">
        <v>247</v>
      </c>
    </row>
    <row r="449" spans="1:1" x14ac:dyDescent="0.25">
      <c r="A449" t="s">
        <v>264</v>
      </c>
    </row>
    <row r="450" spans="1:1" x14ac:dyDescent="0.25">
      <c r="A450" t="s">
        <v>272</v>
      </c>
    </row>
    <row r="451" spans="1:1" x14ac:dyDescent="0.25">
      <c r="A451" t="s">
        <v>302</v>
      </c>
    </row>
    <row r="452" spans="1:1" x14ac:dyDescent="0.25">
      <c r="A452" t="s">
        <v>128</v>
      </c>
    </row>
    <row r="453" spans="1:1" x14ac:dyDescent="0.25">
      <c r="A453" t="s">
        <v>307</v>
      </c>
    </row>
    <row r="454" spans="1:1" x14ac:dyDescent="0.25">
      <c r="A454" t="s">
        <v>308</v>
      </c>
    </row>
    <row r="455" spans="1:1" x14ac:dyDescent="0.25">
      <c r="A455" s="45" t="s">
        <v>361</v>
      </c>
    </row>
    <row r="456" spans="1:1" x14ac:dyDescent="0.25">
      <c r="A456" s="45" t="s">
        <v>159</v>
      </c>
    </row>
    <row r="457" spans="1:1" x14ac:dyDescent="0.25">
      <c r="A457" t="s">
        <v>295</v>
      </c>
    </row>
    <row r="458" spans="1:1" x14ac:dyDescent="0.25">
      <c r="A458" t="s">
        <v>257</v>
      </c>
    </row>
    <row r="459" spans="1:1" x14ac:dyDescent="0.25">
      <c r="A459" t="s">
        <v>236</v>
      </c>
    </row>
    <row r="460" spans="1:1" x14ac:dyDescent="0.25">
      <c r="A460" t="s">
        <v>237</v>
      </c>
    </row>
    <row r="461" spans="1:1" x14ac:dyDescent="0.25">
      <c r="A461" t="s">
        <v>309</v>
      </c>
    </row>
    <row r="462" spans="1:1" x14ac:dyDescent="0.25">
      <c r="A462" t="s">
        <v>239</v>
      </c>
    </row>
    <row r="463" spans="1:1" x14ac:dyDescent="0.25">
      <c r="A463" t="s">
        <v>170</v>
      </c>
    </row>
    <row r="464" spans="1:1" x14ac:dyDescent="0.25">
      <c r="A464" t="s">
        <v>240</v>
      </c>
    </row>
    <row r="465" spans="1:1" x14ac:dyDescent="0.25">
      <c r="A465" t="s">
        <v>264</v>
      </c>
    </row>
    <row r="466" spans="1:1" x14ac:dyDescent="0.25">
      <c r="A466" t="s">
        <v>310</v>
      </c>
    </row>
    <row r="467" spans="1:1" x14ac:dyDescent="0.25">
      <c r="A467" t="s">
        <v>271</v>
      </c>
    </row>
    <row r="468" spans="1:1" x14ac:dyDescent="0.25">
      <c r="A468" t="s">
        <v>272</v>
      </c>
    </row>
    <row r="469" spans="1:1" x14ac:dyDescent="0.25">
      <c r="A469" t="s">
        <v>273</v>
      </c>
    </row>
    <row r="470" spans="1:1" x14ac:dyDescent="0.25">
      <c r="A470" t="s">
        <v>311</v>
      </c>
    </row>
    <row r="471" spans="1:1" x14ac:dyDescent="0.25">
      <c r="A471" t="s">
        <v>302</v>
      </c>
    </row>
    <row r="473" spans="1:1" x14ac:dyDescent="0.25">
      <c r="A473" t="s">
        <v>312</v>
      </c>
    </row>
    <row r="474" spans="1:1" x14ac:dyDescent="0.25">
      <c r="A474" t="s">
        <v>294</v>
      </c>
    </row>
    <row r="475" spans="1:1" x14ac:dyDescent="0.25">
      <c r="A475" s="45" t="s">
        <v>362</v>
      </c>
    </row>
    <row r="476" spans="1:1" x14ac:dyDescent="0.25">
      <c r="A476" s="45" t="s">
        <v>159</v>
      </c>
    </row>
    <row r="477" spans="1:1" x14ac:dyDescent="0.25">
      <c r="A477" t="s">
        <v>295</v>
      </c>
    </row>
    <row r="478" spans="1:1" x14ac:dyDescent="0.25">
      <c r="A478" t="s">
        <v>235</v>
      </c>
    </row>
    <row r="479" spans="1:1" x14ac:dyDescent="0.25">
      <c r="A479" t="s">
        <v>236</v>
      </c>
    </row>
    <row r="480" spans="1:1" x14ac:dyDescent="0.25">
      <c r="A480" t="s">
        <v>237</v>
      </c>
    </row>
    <row r="481" spans="1:1" x14ac:dyDescent="0.25">
      <c r="A481" t="s">
        <v>313</v>
      </c>
    </row>
    <row r="482" spans="1:1" x14ac:dyDescent="0.25">
      <c r="A482" t="s">
        <v>239</v>
      </c>
    </row>
    <row r="483" spans="1:1" x14ac:dyDescent="0.25">
      <c r="A483" t="s">
        <v>170</v>
      </c>
    </row>
    <row r="484" spans="1:1" x14ac:dyDescent="0.25">
      <c r="A484" t="s">
        <v>240</v>
      </c>
    </row>
    <row r="485" spans="1:1" x14ac:dyDescent="0.25">
      <c r="A485" t="s">
        <v>176</v>
      </c>
    </row>
    <row r="486" spans="1:1" x14ac:dyDescent="0.25">
      <c r="A486" t="s">
        <v>314</v>
      </c>
    </row>
    <row r="487" spans="1:1" x14ac:dyDescent="0.25">
      <c r="A487" t="s">
        <v>270</v>
      </c>
    </row>
    <row r="488" spans="1:1" x14ac:dyDescent="0.25">
      <c r="A488" t="s">
        <v>271</v>
      </c>
    </row>
    <row r="489" spans="1:1" x14ac:dyDescent="0.25">
      <c r="A489" t="s">
        <v>298</v>
      </c>
    </row>
    <row r="490" spans="1:1" x14ac:dyDescent="0.25">
      <c r="A490" t="s">
        <v>273</v>
      </c>
    </row>
    <row r="491" spans="1:1" x14ac:dyDescent="0.25">
      <c r="A491" t="s">
        <v>176</v>
      </c>
    </row>
    <row r="492" spans="1:1" x14ac:dyDescent="0.25">
      <c r="A492" t="s">
        <v>315</v>
      </c>
    </row>
    <row r="493" spans="1:1" x14ac:dyDescent="0.25">
      <c r="A493" t="s">
        <v>270</v>
      </c>
    </row>
    <row r="494" spans="1:1" x14ac:dyDescent="0.25">
      <c r="A494" t="s">
        <v>271</v>
      </c>
    </row>
    <row r="495" spans="1:1" x14ac:dyDescent="0.25">
      <c r="A495" t="s">
        <v>316</v>
      </c>
    </row>
    <row r="496" spans="1:1" x14ac:dyDescent="0.25">
      <c r="A496" t="s">
        <v>273</v>
      </c>
    </row>
    <row r="497" spans="1:1" x14ac:dyDescent="0.25">
      <c r="A497" t="s">
        <v>251</v>
      </c>
    </row>
    <row r="498" spans="1:1" x14ac:dyDescent="0.25">
      <c r="A498" t="s">
        <v>301</v>
      </c>
    </row>
    <row r="499" spans="1:1" x14ac:dyDescent="0.25">
      <c r="A499" t="s">
        <v>302</v>
      </c>
    </row>
    <row r="500" spans="1:1" x14ac:dyDescent="0.25">
      <c r="A500" t="s">
        <v>128</v>
      </c>
    </row>
    <row r="501" spans="1:1" x14ac:dyDescent="0.25">
      <c r="A501" t="s">
        <v>317</v>
      </c>
    </row>
    <row r="502" spans="1:1" x14ac:dyDescent="0.25">
      <c r="A502" t="s">
        <v>304</v>
      </c>
    </row>
    <row r="503" spans="1:1" x14ac:dyDescent="0.25">
      <c r="A503" s="45" t="s">
        <v>363</v>
      </c>
    </row>
    <row r="504" spans="1:1" x14ac:dyDescent="0.25">
      <c r="A504" s="45" t="s">
        <v>159</v>
      </c>
    </row>
    <row r="505" spans="1:1" x14ac:dyDescent="0.25">
      <c r="A505" t="s">
        <v>295</v>
      </c>
    </row>
    <row r="506" spans="1:1" x14ac:dyDescent="0.25">
      <c r="A506" t="s">
        <v>257</v>
      </c>
    </row>
    <row r="507" spans="1:1" x14ac:dyDescent="0.25">
      <c r="A507" t="s">
        <v>236</v>
      </c>
    </row>
    <row r="508" spans="1:1" x14ac:dyDescent="0.25">
      <c r="A508" t="s">
        <v>237</v>
      </c>
    </row>
    <row r="509" spans="1:1" x14ac:dyDescent="0.25">
      <c r="A509" t="s">
        <v>318</v>
      </c>
    </row>
    <row r="510" spans="1:1" x14ac:dyDescent="0.25">
      <c r="A510" t="s">
        <v>239</v>
      </c>
    </row>
    <row r="511" spans="1:1" x14ac:dyDescent="0.25">
      <c r="A511" t="s">
        <v>170</v>
      </c>
    </row>
    <row r="512" spans="1:1" x14ac:dyDescent="0.25">
      <c r="A512" t="s">
        <v>240</v>
      </c>
    </row>
    <row r="513" spans="1:1" x14ac:dyDescent="0.25">
      <c r="A513" t="s">
        <v>264</v>
      </c>
    </row>
    <row r="514" spans="1:1" x14ac:dyDescent="0.25">
      <c r="A514" t="s">
        <v>319</v>
      </c>
    </row>
    <row r="515" spans="1:1" x14ac:dyDescent="0.25">
      <c r="A515" t="s">
        <v>243</v>
      </c>
    </row>
    <row r="516" spans="1:1" x14ac:dyDescent="0.25">
      <c r="A516" t="s">
        <v>244</v>
      </c>
    </row>
    <row r="517" spans="1:1" x14ac:dyDescent="0.25">
      <c r="A517" t="s">
        <v>246</v>
      </c>
    </row>
    <row r="518" spans="1:1" x14ac:dyDescent="0.25">
      <c r="A518" t="s">
        <v>247</v>
      </c>
    </row>
    <row r="519" spans="1:1" x14ac:dyDescent="0.25">
      <c r="A519" t="s">
        <v>264</v>
      </c>
    </row>
    <row r="520" spans="1:1" x14ac:dyDescent="0.25">
      <c r="A520" t="s">
        <v>272</v>
      </c>
    </row>
    <row r="521" spans="1:1" x14ac:dyDescent="0.25">
      <c r="A521" t="s">
        <v>302</v>
      </c>
    </row>
    <row r="523" spans="1:1" x14ac:dyDescent="0.25">
      <c r="A523" t="s">
        <v>320</v>
      </c>
    </row>
    <row r="524" spans="1:1" x14ac:dyDescent="0.25">
      <c r="A524" t="s">
        <v>308</v>
      </c>
    </row>
    <row r="525" spans="1:1" x14ac:dyDescent="0.25">
      <c r="A525" s="45" t="s">
        <v>364</v>
      </c>
    </row>
    <row r="526" spans="1:1" x14ac:dyDescent="0.25">
      <c r="A526" t="s">
        <v>159</v>
      </c>
    </row>
    <row r="527" spans="1:1" x14ac:dyDescent="0.25">
      <c r="A527" s="45" t="s">
        <v>295</v>
      </c>
    </row>
    <row r="528" spans="1:1" x14ac:dyDescent="0.25">
      <c r="A528" t="s">
        <v>257</v>
      </c>
    </row>
    <row r="529" spans="1:1" x14ac:dyDescent="0.25">
      <c r="A529" t="s">
        <v>236</v>
      </c>
    </row>
    <row r="530" spans="1:1" x14ac:dyDescent="0.25">
      <c r="A530" t="s">
        <v>237</v>
      </c>
    </row>
    <row r="531" spans="1:1" x14ac:dyDescent="0.25">
      <c r="A531" t="s">
        <v>321</v>
      </c>
    </row>
    <row r="532" spans="1:1" x14ac:dyDescent="0.25">
      <c r="A532" t="s">
        <v>239</v>
      </c>
    </row>
    <row r="533" spans="1:1" x14ac:dyDescent="0.25">
      <c r="A533" t="s">
        <v>170</v>
      </c>
    </row>
    <row r="534" spans="1:1" x14ac:dyDescent="0.25">
      <c r="A534" t="s">
        <v>240</v>
      </c>
    </row>
    <row r="535" spans="1:1" x14ac:dyDescent="0.25">
      <c r="A535" t="s">
        <v>264</v>
      </c>
    </row>
    <row r="536" spans="1:1" x14ac:dyDescent="0.25">
      <c r="A536" t="s">
        <v>310</v>
      </c>
    </row>
    <row r="537" spans="1:1" x14ac:dyDescent="0.25">
      <c r="A537" t="s">
        <v>271</v>
      </c>
    </row>
    <row r="538" spans="1:1" x14ac:dyDescent="0.25">
      <c r="A538" t="s">
        <v>272</v>
      </c>
    </row>
    <row r="539" spans="1:1" x14ac:dyDescent="0.25">
      <c r="A539" t="s">
        <v>273</v>
      </c>
    </row>
    <row r="540" spans="1:1" x14ac:dyDescent="0.25">
      <c r="A540" t="s">
        <v>311</v>
      </c>
    </row>
    <row r="541" spans="1:1" x14ac:dyDescent="0.25">
      <c r="A541" t="s">
        <v>302</v>
      </c>
    </row>
    <row r="543" spans="1:1" x14ac:dyDescent="0.25">
      <c r="A543" t="s">
        <v>123</v>
      </c>
    </row>
    <row r="545" spans="1:1" x14ac:dyDescent="0.25">
      <c r="A545" t="s">
        <v>322</v>
      </c>
    </row>
    <row r="546" spans="1:1" x14ac:dyDescent="0.25">
      <c r="A546" t="s">
        <v>323</v>
      </c>
    </row>
    <row r="548" spans="1:1" x14ac:dyDescent="0.25">
      <c r="A548" t="s">
        <v>324</v>
      </c>
    </row>
    <row r="549" spans="1:1" x14ac:dyDescent="0.25">
      <c r="A549" s="45" t="s">
        <v>339</v>
      </c>
    </row>
    <row r="550" spans="1:1" x14ac:dyDescent="0.25">
      <c r="A550" t="s">
        <v>325</v>
      </c>
    </row>
    <row r="551" spans="1:1" x14ac:dyDescent="0.25">
      <c r="A551" s="45" t="s">
        <v>326</v>
      </c>
    </row>
    <row r="552" spans="1:1" x14ac:dyDescent="0.25">
      <c r="A552" t="s">
        <v>209</v>
      </c>
    </row>
    <row r="553" spans="1:1" x14ac:dyDescent="0.25">
      <c r="A553" s="45" t="s">
        <v>338</v>
      </c>
    </row>
    <row r="554" spans="1:1" x14ac:dyDescent="0.25">
      <c r="A554" t="s">
        <v>122</v>
      </c>
    </row>
    <row r="555" spans="1:1" x14ac:dyDescent="0.25">
      <c r="A555" s="45" t="s">
        <v>327</v>
      </c>
    </row>
    <row r="556" spans="1:1" x14ac:dyDescent="0.25">
      <c r="A556" t="s">
        <v>235</v>
      </c>
    </row>
    <row r="557" spans="1:1" x14ac:dyDescent="0.25">
      <c r="A557" t="s">
        <v>328</v>
      </c>
    </row>
    <row r="558" spans="1:1" x14ac:dyDescent="0.25">
      <c r="A558" t="s">
        <v>329</v>
      </c>
    </row>
    <row r="559" spans="1:1" x14ac:dyDescent="0.25">
      <c r="A559" t="s">
        <v>330</v>
      </c>
    </row>
    <row r="560" spans="1:1" x14ac:dyDescent="0.25">
      <c r="A560" t="s">
        <v>331</v>
      </c>
    </row>
    <row r="561" spans="1:1" x14ac:dyDescent="0.25">
      <c r="A561" t="s">
        <v>175</v>
      </c>
    </row>
    <row r="562" spans="1:1" x14ac:dyDescent="0.25">
      <c r="A562" t="s">
        <v>176</v>
      </c>
    </row>
    <row r="563" spans="1:1" x14ac:dyDescent="0.25">
      <c r="A563" t="s">
        <v>332</v>
      </c>
    </row>
    <row r="564" spans="1:1" x14ac:dyDescent="0.25">
      <c r="A564" t="s">
        <v>333</v>
      </c>
    </row>
    <row r="565" spans="1:1" x14ac:dyDescent="0.25">
      <c r="A565" t="s">
        <v>334</v>
      </c>
    </row>
    <row r="566" spans="1:1" x14ac:dyDescent="0.25">
      <c r="A566" t="s">
        <v>252</v>
      </c>
    </row>
    <row r="568" spans="1:1" x14ac:dyDescent="0.25">
      <c r="A568" t="s">
        <v>123</v>
      </c>
    </row>
    <row r="570" spans="1:1" x14ac:dyDescent="0.25">
      <c r="A570" t="s">
        <v>335</v>
      </c>
    </row>
    <row r="572" spans="1:1" x14ac:dyDescent="0.25">
      <c r="A572" s="45" t="s">
        <v>337</v>
      </c>
    </row>
    <row r="574" spans="1:1" x14ac:dyDescent="0.25">
      <c r="A574" s="45" t="s">
        <v>336</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3</vt:i4>
      </vt:variant>
    </vt:vector>
  </HeadingPairs>
  <TitlesOfParts>
    <vt:vector size="3" baseType="lpstr">
      <vt:lpstr>Intro Sheet</vt:lpstr>
      <vt:lpstr>Schedule_Generator</vt:lpstr>
      <vt:lpstr>Macro Dump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Stefan Cline</dc:creator>
  <cp:lastModifiedBy>Stefan Cline</cp:lastModifiedBy>
  <dcterms:created xsi:type="dcterms:W3CDTF">2020-09-03T22:31:18Z</dcterms:created>
  <dcterms:modified xsi:type="dcterms:W3CDTF">2020-11-26T02:59:21Z</dcterms:modified>
</cp:coreProperties>
</file>