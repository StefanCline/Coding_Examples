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8fa13b15e939eee1/Documents/School/2 Fall Semester 2020/FA20 Elementary Computational Methods/Final/"/>
    </mc:Choice>
  </mc:AlternateContent>
  <xr:revisionPtr revIDLastSave="901" documentId="8_{D9E73753-93C0-450A-892D-4D9122C5FFB9}" xr6:coauthVersionLast="45" xr6:coauthVersionMax="45" xr10:uidLastSave="{7E608625-C25A-4059-B5E1-AE06F9B0E093}"/>
  <bookViews>
    <workbookView xWindow="-120" yWindow="-120" windowWidth="29040" windowHeight="15840" tabRatio="839" xr2:uid="{247E09AE-2CC6-4872-83FB-44D164822C89}"/>
  </bookViews>
  <sheets>
    <sheet name="Intro Sheet" sheetId="1" r:id="rId1"/>
    <sheet name="Problem 1c" sheetId="38" r:id="rId2"/>
    <sheet name="Problem 2" sheetId="33" r:id="rId3"/>
    <sheet name="Problem 4" sheetId="28" r:id="rId4"/>
    <sheet name="Problem 5abc" sheetId="34" r:id="rId5"/>
    <sheet name="Problem 5d" sheetId="35" r:id="rId6"/>
    <sheet name="Macro Dump" sheetId="12" r:id="rId7"/>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8" i="28" l="1"/>
  <c r="J76" i="28"/>
  <c r="J74" i="28"/>
  <c r="G18" i="38" l="1"/>
  <c r="F18" i="38"/>
  <c r="E18" i="38"/>
  <c r="D18" i="38"/>
  <c r="E6" i="38"/>
  <c r="E5" i="38"/>
  <c r="D19" i="38" l="1"/>
  <c r="E19" i="38"/>
  <c r="H19" i="38"/>
  <c r="F19" i="38"/>
  <c r="G19" i="38" s="1"/>
  <c r="D20" i="38" s="1"/>
  <c r="E20" i="38" l="1"/>
  <c r="F20" i="38"/>
  <c r="G20" i="38" s="1"/>
  <c r="D21" i="38" s="1"/>
  <c r="E21" i="38" s="1"/>
  <c r="F21" i="38" l="1"/>
  <c r="G21" i="38" s="1"/>
  <c r="H20" i="38"/>
  <c r="D22" i="38" l="1"/>
  <c r="F22" i="38" s="1"/>
  <c r="F44" i="38"/>
  <c r="E22" i="38"/>
  <c r="G22" i="38" s="1"/>
  <c r="D23" i="38" s="1"/>
  <c r="H21" i="38"/>
  <c r="F23" i="38" l="1"/>
  <c r="E23" i="38"/>
  <c r="G23" i="38" s="1"/>
  <c r="D24" i="38" s="1"/>
  <c r="F24" i="38" l="1"/>
  <c r="E24" i="38"/>
  <c r="G24" i="38" s="1"/>
  <c r="D25" i="38" s="1"/>
  <c r="E25" i="38" s="1"/>
  <c r="H22" i="38"/>
  <c r="F25" i="38" l="1"/>
  <c r="G25" i="38" s="1"/>
  <c r="D26" i="38" s="1"/>
  <c r="F26" i="38" s="1"/>
  <c r="H23" i="38"/>
  <c r="E26" i="38" l="1"/>
  <c r="G26" i="38" s="1"/>
  <c r="D27" i="38" s="1"/>
  <c r="F27" i="38" s="1"/>
  <c r="H24" i="38"/>
  <c r="E27" i="38" l="1"/>
  <c r="G27" i="38" s="1"/>
  <c r="D28" i="38" s="1"/>
  <c r="E28" i="38" s="1"/>
  <c r="H25" i="38"/>
  <c r="F28" i="38" l="1"/>
  <c r="G28" i="38" s="1"/>
  <c r="D29" i="38" s="1"/>
  <c r="E29" i="38" s="1"/>
  <c r="F29" i="38" l="1"/>
  <c r="G29" i="38" s="1"/>
  <c r="D30" i="38" s="1"/>
  <c r="H26" i="38"/>
  <c r="E30" i="38" l="1"/>
  <c r="F30" i="38"/>
  <c r="G30" i="38" s="1"/>
  <c r="D31" i="38" s="1"/>
  <c r="E31" i="38" s="1"/>
  <c r="H27" i="38"/>
  <c r="F31" i="38" l="1"/>
  <c r="G31" i="38" s="1"/>
  <c r="D32" i="38" s="1"/>
  <c r="E32" i="38" s="1"/>
  <c r="H28" i="38"/>
  <c r="F32" i="38" l="1"/>
  <c r="G32" i="38" s="1"/>
  <c r="D33" i="38" s="1"/>
  <c r="E33" i="38" l="1"/>
  <c r="F33" i="38"/>
  <c r="H29" i="38"/>
  <c r="G33" i="38" l="1"/>
  <c r="D34" i="38" s="1"/>
  <c r="E34" i="38" l="1"/>
  <c r="F34" i="38"/>
  <c r="G34" i="38" s="1"/>
  <c r="D35" i="38" s="1"/>
  <c r="H30" i="38"/>
  <c r="E35" i="38" l="1"/>
  <c r="F35" i="38"/>
  <c r="H31" i="38"/>
  <c r="G35" i="38" l="1"/>
  <c r="D36" i="38" s="1"/>
  <c r="H32" i="38"/>
  <c r="E36" i="38" l="1"/>
  <c r="F36" i="38"/>
  <c r="G36" i="38" s="1"/>
  <c r="D37" i="38" s="1"/>
  <c r="H33" i="38"/>
  <c r="E37" i="38" l="1"/>
  <c r="F37" i="38"/>
  <c r="G37" i="38" s="1"/>
  <c r="D38" i="38" s="1"/>
  <c r="F38" i="38" l="1"/>
  <c r="E38" i="38"/>
  <c r="H34" i="38"/>
  <c r="G38" i="38" l="1"/>
  <c r="H35" i="38"/>
  <c r="H36" i="38" l="1"/>
  <c r="H37" i="38" l="1"/>
  <c r="J73" i="28" l="1"/>
  <c r="J72" i="28"/>
  <c r="L59" i="28"/>
  <c r="D116" i="34" l="1"/>
  <c r="D99" i="34"/>
  <c r="E99" i="34" s="1"/>
  <c r="I99" i="34"/>
  <c r="J99" i="34" s="1"/>
  <c r="C100" i="34"/>
  <c r="I100" i="34" s="1"/>
  <c r="B100" i="34"/>
  <c r="B101" i="34" s="1"/>
  <c r="B102" i="34" s="1"/>
  <c r="B103" i="34" s="1"/>
  <c r="B104" i="34" s="1"/>
  <c r="B105" i="34" s="1"/>
  <c r="B106" i="34" s="1"/>
  <c r="B107" i="34" s="1"/>
  <c r="B108" i="34" s="1"/>
  <c r="B109" i="34" s="1"/>
  <c r="F86" i="34"/>
  <c r="D77" i="34"/>
  <c r="C86" i="34"/>
  <c r="C85" i="34"/>
  <c r="F85" i="34" s="1"/>
  <c r="C84" i="34"/>
  <c r="F84" i="34" s="1"/>
  <c r="C83" i="34"/>
  <c r="F83" i="34" s="1"/>
  <c r="C82" i="34"/>
  <c r="F82" i="34" s="1"/>
  <c r="C81" i="34"/>
  <c r="F81" i="34" s="1"/>
  <c r="C80" i="34"/>
  <c r="F80" i="34" s="1"/>
  <c r="C79" i="34"/>
  <c r="F79" i="34" s="1"/>
  <c r="C78" i="34"/>
  <c r="F78" i="34" s="1"/>
  <c r="C77" i="34"/>
  <c r="F77" i="34" s="1"/>
  <c r="G76" i="34"/>
  <c r="C60" i="34"/>
  <c r="E60" i="34" s="1"/>
  <c r="D60" i="34"/>
  <c r="C69" i="34"/>
  <c r="E69" i="34" s="1"/>
  <c r="C68" i="34"/>
  <c r="E68" i="34" s="1"/>
  <c r="C67" i="34"/>
  <c r="E67" i="34" s="1"/>
  <c r="C66" i="34"/>
  <c r="E66" i="34" s="1"/>
  <c r="C65" i="34"/>
  <c r="E65" i="34" s="1"/>
  <c r="C64" i="34"/>
  <c r="E64" i="34" s="1"/>
  <c r="C63" i="34"/>
  <c r="E63" i="34" s="1"/>
  <c r="C62" i="34"/>
  <c r="E62" i="34" s="1"/>
  <c r="C61" i="34"/>
  <c r="E61" i="34" s="1"/>
  <c r="F59" i="34"/>
  <c r="E77" i="34" l="1"/>
  <c r="D78" i="34" s="1"/>
  <c r="D61" i="34"/>
  <c r="E78" i="34"/>
  <c r="D79" i="34" s="1"/>
  <c r="E79" i="34" s="1"/>
  <c r="D62" i="34"/>
  <c r="D63" i="34" s="1"/>
  <c r="D64" i="34" s="1"/>
  <c r="D65" i="34" s="1"/>
  <c r="D66" i="34" s="1"/>
  <c r="D67" i="34" s="1"/>
  <c r="D68" i="34" s="1"/>
  <c r="D69" i="34" s="1"/>
  <c r="D72" i="34" s="1"/>
  <c r="F99" i="34"/>
  <c r="G99" i="34" s="1"/>
  <c r="C101" i="34"/>
  <c r="F60" i="34"/>
  <c r="C102" i="34" l="1"/>
  <c r="I101" i="34"/>
  <c r="H100" i="34"/>
  <c r="D80" i="34"/>
  <c r="E80" i="34"/>
  <c r="F61" i="34"/>
  <c r="F62" i="34"/>
  <c r="D100" i="34" l="1"/>
  <c r="E100" i="34" s="1"/>
  <c r="F100" i="34" s="1"/>
  <c r="G100" i="34" s="1"/>
  <c r="J100" i="34"/>
  <c r="C103" i="34"/>
  <c r="I102" i="34"/>
  <c r="D81" i="34"/>
  <c r="E81" i="34" s="1"/>
  <c r="F63" i="34"/>
  <c r="H101" i="34" l="1"/>
  <c r="C104" i="34"/>
  <c r="I103" i="34"/>
  <c r="D82" i="34"/>
  <c r="E82" i="34" s="1"/>
  <c r="F64" i="34"/>
  <c r="C105" i="34" l="1"/>
  <c r="I104" i="34"/>
  <c r="D101" i="34"/>
  <c r="E101" i="34" s="1"/>
  <c r="F101" i="34" s="1"/>
  <c r="G101" i="34" s="1"/>
  <c r="J101" i="34"/>
  <c r="D83" i="34"/>
  <c r="E83" i="34" s="1"/>
  <c r="F65" i="34"/>
  <c r="H102" i="34" l="1"/>
  <c r="D102" i="34" s="1"/>
  <c r="C106" i="34"/>
  <c r="I105" i="34"/>
  <c r="D84" i="34"/>
  <c r="E84" i="34" s="1"/>
  <c r="F66" i="34"/>
  <c r="E102" i="34" l="1"/>
  <c r="F102" i="34" s="1"/>
  <c r="G102" i="34" s="1"/>
  <c r="J102" i="34"/>
  <c r="H103" i="34"/>
  <c r="D103" i="34" s="1"/>
  <c r="C107" i="34"/>
  <c r="I106" i="34"/>
  <c r="D85" i="34"/>
  <c r="E85" i="34"/>
  <c r="F67" i="34"/>
  <c r="E103" i="34" l="1"/>
  <c r="F103" i="34" s="1"/>
  <c r="G103" i="34" s="1"/>
  <c r="J103" i="34"/>
  <c r="C108" i="34"/>
  <c r="I107" i="34"/>
  <c r="D86" i="34"/>
  <c r="E86" i="34" s="1"/>
  <c r="D88" i="34" s="1"/>
  <c r="F68" i="34"/>
  <c r="H104" i="34" l="1"/>
  <c r="C109" i="34"/>
  <c r="I109" i="34" s="1"/>
  <c r="I108" i="34"/>
  <c r="D104" i="34"/>
  <c r="E104" i="34"/>
  <c r="F104" i="34" s="1"/>
  <c r="G104" i="34" s="1"/>
  <c r="J104" i="34"/>
  <c r="F69" i="34"/>
  <c r="H105" i="34" l="1"/>
  <c r="D105" i="34"/>
  <c r="E105" i="34" s="1"/>
  <c r="F105" i="34" l="1"/>
  <c r="G105" i="34" s="1"/>
  <c r="H106" i="34"/>
  <c r="D106" i="34" l="1"/>
  <c r="J105" i="34"/>
  <c r="E106" i="34" l="1"/>
  <c r="F106" i="34" s="1"/>
  <c r="G106" i="34" s="1"/>
  <c r="H107" i="34" l="1"/>
  <c r="D107" i="34" l="1"/>
  <c r="J106" i="34"/>
  <c r="E107" i="34" l="1"/>
  <c r="F107" i="34" s="1"/>
  <c r="G107" i="34" s="1"/>
  <c r="H108" i="34" l="1"/>
  <c r="D108" i="34" l="1"/>
  <c r="E108" i="34" s="1"/>
  <c r="F108" i="34" s="1"/>
  <c r="G108" i="34" s="1"/>
  <c r="H109" i="34" s="1"/>
  <c r="J107" i="34"/>
  <c r="D109" i="34" l="1"/>
  <c r="E109" i="34"/>
  <c r="F109" i="34" s="1"/>
  <c r="G109" i="34" s="1"/>
  <c r="J108" i="34" l="1"/>
  <c r="J109" i="34" l="1"/>
  <c r="I157" i="33"/>
  <c r="I158" i="33" s="1"/>
  <c r="C93" i="33"/>
  <c r="D108" i="33" s="1"/>
  <c r="E108" i="33" s="1"/>
  <c r="D115" i="33" l="1"/>
  <c r="E115" i="33" s="1"/>
  <c r="G115" i="33" s="1"/>
  <c r="D103" i="33"/>
  <c r="E103" i="33" s="1"/>
  <c r="G103" i="33" s="1"/>
  <c r="D114" i="33"/>
  <c r="E114" i="33" s="1"/>
  <c r="G114" i="33" s="1"/>
  <c r="D101" i="33"/>
  <c r="E101" i="33" s="1"/>
  <c r="G101" i="33" s="1"/>
  <c r="D111" i="33"/>
  <c r="E111" i="33" s="1"/>
  <c r="G111" i="33" s="1"/>
  <c r="D99" i="33"/>
  <c r="E99" i="33" s="1"/>
  <c r="D110" i="33"/>
  <c r="E110" i="33" s="1"/>
  <c r="G110" i="33" s="1"/>
  <c r="D113" i="33"/>
  <c r="E113" i="33" s="1"/>
  <c r="G113" i="33" s="1"/>
  <c r="D100" i="33"/>
  <c r="E100" i="33" s="1"/>
  <c r="G100" i="33" s="1"/>
  <c r="D98" i="33"/>
  <c r="E98" i="33" s="1"/>
  <c r="G98" i="33" s="1"/>
  <c r="D109" i="33"/>
  <c r="E109" i="33" s="1"/>
  <c r="G109" i="33" s="1"/>
  <c r="D116" i="33"/>
  <c r="E116" i="33" s="1"/>
  <c r="G116" i="33" s="1"/>
  <c r="D102" i="33"/>
  <c r="E102" i="33" s="1"/>
  <c r="G102" i="33" s="1"/>
  <c r="D112" i="33"/>
  <c r="E112" i="33" s="1"/>
  <c r="G112" i="33" s="1"/>
  <c r="H112" i="33" s="1"/>
  <c r="D97" i="33"/>
  <c r="E97" i="33" s="1"/>
  <c r="G97" i="33" s="1"/>
  <c r="D96" i="33"/>
  <c r="E96" i="33" s="1"/>
  <c r="G96" i="33" s="1"/>
  <c r="D95" i="33"/>
  <c r="E95" i="33" s="1"/>
  <c r="G95" i="33" s="1"/>
  <c r="G108" i="33"/>
  <c r="G99" i="33"/>
  <c r="H95" i="33" l="1"/>
  <c r="H105" i="33" s="1"/>
  <c r="H100" i="33"/>
  <c r="H108" i="33"/>
  <c r="H118" i="33" s="1"/>
  <c r="C57" i="33" l="1"/>
  <c r="C63" i="33" s="1"/>
  <c r="C58" i="33"/>
  <c r="K59" i="33" s="1"/>
  <c r="L59" i="33" s="1"/>
  <c r="M59" i="33" s="1"/>
  <c r="C59" i="33"/>
  <c r="H61" i="33" s="1"/>
  <c r="I61" i="33" s="1"/>
  <c r="J61" i="33" s="1"/>
  <c r="C60" i="33"/>
  <c r="E66" i="33" s="1"/>
  <c r="F66" i="33" s="1"/>
  <c r="G66" i="33" s="1"/>
  <c r="C56" i="33"/>
  <c r="C62" i="33" s="1"/>
  <c r="K57" i="33" l="1"/>
  <c r="L57" i="33" s="1"/>
  <c r="M57" i="33" s="1"/>
  <c r="N58" i="33"/>
  <c r="O58" i="33" s="1"/>
  <c r="P58" i="33" s="1"/>
  <c r="N56" i="33"/>
  <c r="O56" i="33" s="1"/>
  <c r="P56" i="33" s="1"/>
  <c r="N57" i="33"/>
  <c r="O57" i="33" s="1"/>
  <c r="P57" i="33" s="1"/>
  <c r="Q56" i="33"/>
  <c r="R56" i="33" s="1"/>
  <c r="S56" i="33" s="1"/>
  <c r="Q57" i="33"/>
  <c r="R57" i="33" s="1"/>
  <c r="S57" i="33" s="1"/>
  <c r="H60" i="33"/>
  <c r="I60" i="33" s="1"/>
  <c r="J60" i="33" s="1"/>
  <c r="K58" i="33"/>
  <c r="L58" i="33" s="1"/>
  <c r="M58" i="33" s="1"/>
  <c r="E65" i="33"/>
  <c r="F65" i="33" s="1"/>
  <c r="G65" i="33" s="1"/>
  <c r="E64" i="33"/>
  <c r="F64" i="33" s="1"/>
  <c r="G64" i="33" s="1"/>
  <c r="H57" i="33"/>
  <c r="I57" i="33" s="1"/>
  <c r="J57" i="33" s="1"/>
  <c r="E62" i="33"/>
  <c r="F62" i="33" s="1"/>
  <c r="G62" i="33" s="1"/>
  <c r="E56" i="33"/>
  <c r="F56" i="33" s="1"/>
  <c r="G56" i="33" s="1"/>
  <c r="E61" i="33"/>
  <c r="F61" i="33" s="1"/>
  <c r="G61" i="33" s="1"/>
  <c r="C66" i="33"/>
  <c r="E72" i="33"/>
  <c r="F72" i="33" s="1"/>
  <c r="G72" i="33" s="1"/>
  <c r="C65" i="33"/>
  <c r="E59" i="33"/>
  <c r="F59" i="33" s="1"/>
  <c r="G59" i="33" s="1"/>
  <c r="H56" i="33"/>
  <c r="I56" i="33" s="1"/>
  <c r="J56" i="33" s="1"/>
  <c r="E58" i="33"/>
  <c r="F58" i="33" s="1"/>
  <c r="G58" i="33" s="1"/>
  <c r="H63" i="33"/>
  <c r="I63" i="33" s="1"/>
  <c r="J63" i="33" s="1"/>
  <c r="E68" i="33"/>
  <c r="F68" i="33" s="1"/>
  <c r="G68" i="33" s="1"/>
  <c r="K56" i="33"/>
  <c r="L56" i="33" s="1"/>
  <c r="M56" i="33" s="1"/>
  <c r="H59" i="33"/>
  <c r="I59" i="33" s="1"/>
  <c r="J59" i="33" s="1"/>
  <c r="E63" i="33"/>
  <c r="F63" i="33" s="1"/>
  <c r="G63" i="33" s="1"/>
  <c r="E70" i="33"/>
  <c r="F70" i="33" s="1"/>
  <c r="G70" i="33" s="1"/>
  <c r="E69" i="33"/>
  <c r="F69" i="33" s="1"/>
  <c r="G69" i="33" s="1"/>
  <c r="H62" i="33"/>
  <c r="I62" i="33" s="1"/>
  <c r="J62" i="33" s="1"/>
  <c r="E67" i="33"/>
  <c r="F67" i="33" s="1"/>
  <c r="G67" i="33" s="1"/>
  <c r="K60" i="33"/>
  <c r="L60" i="33" s="1"/>
  <c r="M60" i="33" s="1"/>
  <c r="H58" i="33"/>
  <c r="I58" i="33" s="1"/>
  <c r="J58" i="33" s="1"/>
  <c r="E60" i="33"/>
  <c r="F60" i="33" s="1"/>
  <c r="G60" i="33" s="1"/>
  <c r="E71" i="33"/>
  <c r="F71" i="33" s="1"/>
  <c r="G71" i="33" s="1"/>
  <c r="C64" i="33"/>
  <c r="H64" i="33"/>
  <c r="I64" i="33" s="1"/>
  <c r="J64" i="33" s="1"/>
  <c r="E57" i="33"/>
  <c r="F57" i="33" s="1"/>
  <c r="G57" i="33" s="1"/>
  <c r="D19" i="33"/>
  <c r="M73" i="33" l="1"/>
  <c r="M74" i="33" s="1"/>
  <c r="E81" i="33" s="1"/>
  <c r="G73" i="33"/>
  <c r="G74" i="33" s="1"/>
  <c r="E83" i="33" s="1"/>
  <c r="P73" i="33"/>
  <c r="P74" i="33" s="1"/>
  <c r="E80" i="33" s="1"/>
  <c r="S73" i="33"/>
  <c r="S74" i="33" s="1"/>
  <c r="E79" i="33" s="1"/>
  <c r="E25" i="33"/>
  <c r="E39" i="33"/>
  <c r="F39" i="33" s="1"/>
  <c r="G39" i="33" s="1"/>
  <c r="E41" i="33"/>
  <c r="F41" i="33" s="1"/>
  <c r="G41" i="33" s="1"/>
  <c r="E43" i="33"/>
  <c r="F43" i="33" s="1"/>
  <c r="G43" i="33" s="1"/>
  <c r="E36" i="33"/>
  <c r="F36" i="33" s="1"/>
  <c r="G36" i="33" s="1"/>
  <c r="E37" i="33"/>
  <c r="F37" i="33" s="1"/>
  <c r="G37" i="33" s="1"/>
  <c r="E28" i="33"/>
  <c r="F28" i="33" s="1"/>
  <c r="G28" i="33" s="1"/>
  <c r="E40" i="33"/>
  <c r="F40" i="33" s="1"/>
  <c r="G40" i="33" s="1"/>
  <c r="E29" i="33"/>
  <c r="F29" i="33" s="1"/>
  <c r="G29" i="33" s="1"/>
  <c r="E45" i="33"/>
  <c r="F45" i="33" s="1"/>
  <c r="G45" i="33" s="1"/>
  <c r="E30" i="33"/>
  <c r="F30" i="33" s="1"/>
  <c r="G30" i="33" s="1"/>
  <c r="E42" i="33"/>
  <c r="F42" i="33" s="1"/>
  <c r="G42" i="33" s="1"/>
  <c r="E31" i="33"/>
  <c r="F31" i="33" s="1"/>
  <c r="G31" i="33" s="1"/>
  <c r="E32" i="33"/>
  <c r="F32" i="33" s="1"/>
  <c r="G32" i="33" s="1"/>
  <c r="E44" i="33"/>
  <c r="F44" i="33" s="1"/>
  <c r="G44" i="33" s="1"/>
  <c r="E38" i="33"/>
  <c r="F38" i="33" s="1"/>
  <c r="G38" i="33" s="1"/>
  <c r="E33" i="33"/>
  <c r="F33" i="33" s="1"/>
  <c r="G33" i="33" s="1"/>
  <c r="E47" i="33"/>
  <c r="F47" i="33" s="1"/>
  <c r="G47" i="33" s="1"/>
  <c r="E34" i="33"/>
  <c r="F34" i="33" s="1"/>
  <c r="G34" i="33" s="1"/>
  <c r="E46" i="33"/>
  <c r="F46" i="33" s="1"/>
  <c r="G46" i="33" s="1"/>
  <c r="E27" i="33"/>
  <c r="F27" i="33" s="1"/>
  <c r="G27" i="33" s="1"/>
  <c r="E35" i="33"/>
  <c r="F35" i="33" s="1"/>
  <c r="G35" i="33" s="1"/>
  <c r="J73" i="33"/>
  <c r="J74" i="33" s="1"/>
  <c r="E82" i="33" s="1"/>
  <c r="J80" i="28"/>
  <c r="E127" i="28"/>
  <c r="N79" i="28"/>
  <c r="R69" i="28"/>
  <c r="Q69" i="28"/>
  <c r="O69" i="28"/>
  <c r="M69" i="28"/>
  <c r="K69" i="28"/>
  <c r="J69" i="28"/>
  <c r="I69" i="28"/>
  <c r="H69" i="28"/>
  <c r="G69" i="28"/>
  <c r="F69" i="28"/>
  <c r="E69" i="28"/>
  <c r="D69" i="28"/>
  <c r="C69" i="28"/>
  <c r="J79" i="28"/>
  <c r="R67" i="28" s="1"/>
  <c r="C63" i="28"/>
  <c r="D63" i="28"/>
  <c r="E63" i="28"/>
  <c r="F63" i="28"/>
  <c r="G63" i="28"/>
  <c r="I63" i="28" s="1"/>
  <c r="H63" i="28"/>
  <c r="J63" i="28"/>
  <c r="K63" i="28"/>
  <c r="C64" i="28"/>
  <c r="D64" i="28"/>
  <c r="E64" i="28"/>
  <c r="F64" i="28"/>
  <c r="G64" i="28"/>
  <c r="J64" i="28" s="1"/>
  <c r="H64" i="28"/>
  <c r="I64" i="28"/>
  <c r="K64" i="28"/>
  <c r="C65" i="28"/>
  <c r="D65" i="28"/>
  <c r="E65" i="28"/>
  <c r="F65" i="28"/>
  <c r="G65" i="28"/>
  <c r="J65" i="28" s="1"/>
  <c r="H65" i="28"/>
  <c r="K65" i="28" s="1"/>
  <c r="I65" i="28"/>
  <c r="C66" i="28"/>
  <c r="D66" i="28"/>
  <c r="E66" i="28"/>
  <c r="F66" i="28"/>
  <c r="G66" i="28"/>
  <c r="I66" i="28" s="1"/>
  <c r="H66" i="28"/>
  <c r="J66" i="28"/>
  <c r="K66" i="28"/>
  <c r="C67" i="28"/>
  <c r="D67" i="28"/>
  <c r="E67" i="28"/>
  <c r="F67" i="28"/>
  <c r="G67" i="28"/>
  <c r="J67" i="28" s="1"/>
  <c r="H67" i="28"/>
  <c r="I67" i="28"/>
  <c r="K67" i="28"/>
  <c r="C68" i="28"/>
  <c r="D68" i="28"/>
  <c r="E68" i="28"/>
  <c r="F68" i="28"/>
  <c r="G68" i="28"/>
  <c r="J68" i="28" s="1"/>
  <c r="H68" i="28"/>
  <c r="K68" i="28" s="1"/>
  <c r="I68" i="28"/>
  <c r="F79" i="33" l="1"/>
  <c r="F81" i="33"/>
  <c r="F80" i="33"/>
  <c r="G79" i="33" s="1"/>
  <c r="G80" i="33"/>
  <c r="H79" i="33" s="1"/>
  <c r="F82" i="33"/>
  <c r="G81" i="33" s="1"/>
  <c r="G48" i="33"/>
  <c r="G49" i="33" s="1"/>
  <c r="J75" i="28"/>
  <c r="K75" i="28" s="1"/>
  <c r="J77" i="28"/>
  <c r="K77" i="28" s="1"/>
  <c r="R64" i="28"/>
  <c r="R66" i="28"/>
  <c r="R68" i="28"/>
  <c r="R65" i="28"/>
  <c r="R63" i="28"/>
  <c r="H80" i="33" l="1"/>
  <c r="I79" i="33" s="1"/>
  <c r="N64" i="28"/>
  <c r="O64" i="28" s="1"/>
  <c r="P64" i="28"/>
  <c r="Q64" i="28" s="1"/>
  <c r="N63" i="28"/>
  <c r="O63" i="28" s="1"/>
  <c r="N65" i="28"/>
  <c r="O65" i="28" s="1"/>
  <c r="N67" i="28"/>
  <c r="O67" i="28" s="1"/>
  <c r="N68" i="28"/>
  <c r="O68" i="28" s="1"/>
  <c r="N66" i="28"/>
  <c r="O66" i="28" s="1"/>
  <c r="L68" i="28"/>
  <c r="M68" i="28" s="1"/>
  <c r="P68" i="28"/>
  <c r="Q68" i="28" s="1"/>
  <c r="P67" i="28"/>
  <c r="Q67" i="28" s="1"/>
  <c r="P63" i="28"/>
  <c r="Q63" i="28" s="1"/>
  <c r="P65" i="28"/>
  <c r="Q65" i="28" s="1"/>
  <c r="P66" i="28"/>
  <c r="Q66" i="28" s="1"/>
  <c r="L65" i="28"/>
  <c r="M65" i="28" s="1"/>
  <c r="L64" i="28"/>
  <c r="M64" i="28" s="1"/>
  <c r="L63" i="28"/>
  <c r="M63" i="28" s="1"/>
  <c r="L66" i="28"/>
  <c r="M66" i="28" s="1"/>
  <c r="L67" i="28"/>
  <c r="M67" i="28" s="1"/>
  <c r="R62" i="28"/>
  <c r="H62" i="28"/>
  <c r="K62" i="28" s="1"/>
  <c r="G62" i="28"/>
  <c r="J62" i="28" s="1"/>
  <c r="F62" i="28"/>
  <c r="E62" i="28"/>
  <c r="D62" i="28"/>
  <c r="C62" i="28"/>
  <c r="H61" i="28"/>
  <c r="K61" i="28" s="1"/>
  <c r="G61" i="28"/>
  <c r="J61" i="28" s="1"/>
  <c r="F61" i="28"/>
  <c r="E61" i="28"/>
  <c r="D61" i="28"/>
  <c r="C61" i="28"/>
  <c r="H60" i="28"/>
  <c r="K60" i="28" s="1"/>
  <c r="G60" i="28"/>
  <c r="J60" i="28" s="1"/>
  <c r="F60" i="28"/>
  <c r="E60" i="28"/>
  <c r="D60" i="28"/>
  <c r="C60" i="28"/>
  <c r="H59" i="28"/>
  <c r="K59" i="28" s="1"/>
  <c r="G59" i="28"/>
  <c r="J59" i="28" s="1"/>
  <c r="F59" i="28"/>
  <c r="E59" i="28"/>
  <c r="D59" i="28"/>
  <c r="C59" i="28"/>
  <c r="H58" i="28"/>
  <c r="K58" i="28" s="1"/>
  <c r="G58" i="28"/>
  <c r="J58" i="28" s="1"/>
  <c r="F58" i="28"/>
  <c r="E58" i="28"/>
  <c r="D58" i="28"/>
  <c r="C58" i="28"/>
  <c r="H57" i="28"/>
  <c r="G57" i="28"/>
  <c r="J57" i="28" s="1"/>
  <c r="F57" i="28"/>
  <c r="E57" i="28"/>
  <c r="D57" i="28"/>
  <c r="C57" i="28"/>
  <c r="R57" i="28" l="1"/>
  <c r="R61" i="28"/>
  <c r="R60" i="28"/>
  <c r="R59" i="28"/>
  <c r="R58" i="28"/>
  <c r="K57" i="28"/>
  <c r="I59" i="28"/>
  <c r="I62" i="28"/>
  <c r="I58" i="28"/>
  <c r="I57" i="28"/>
  <c r="I60" i="28"/>
  <c r="I61" i="28"/>
  <c r="N62" i="28" l="1"/>
  <c r="O62" i="28" s="1"/>
  <c r="L61" i="28"/>
  <c r="M61" i="28" s="1"/>
  <c r="L57" i="28"/>
  <c r="M57" i="28" s="1"/>
  <c r="M59" i="28"/>
  <c r="L60" i="28"/>
  <c r="M60" i="28" s="1"/>
  <c r="L58" i="28"/>
  <c r="M58" i="28" s="1"/>
  <c r="L62" i="28"/>
  <c r="M62" i="28" s="1"/>
  <c r="P58" i="28"/>
  <c r="Q58" i="28" s="1"/>
  <c r="P59" i="28"/>
  <c r="Q59" i="28" s="1"/>
  <c r="P60" i="28"/>
  <c r="Q60" i="28" s="1"/>
  <c r="P61" i="28"/>
  <c r="Q61" i="28" s="1"/>
  <c r="P62" i="28"/>
  <c r="Q62" i="28" s="1"/>
  <c r="P57" i="28"/>
  <c r="Q57" i="28" s="1"/>
  <c r="N60" i="28"/>
  <c r="O60" i="28" s="1"/>
  <c r="N59" i="28" l="1"/>
  <c r="O59" i="28" s="1"/>
  <c r="N58" i="28"/>
  <c r="O58" i="28" s="1"/>
  <c r="N61" i="28"/>
  <c r="O61" i="28" s="1"/>
  <c r="N57" i="28"/>
  <c r="O57" i="28" s="1"/>
  <c r="N77" i="28"/>
  <c r="N75" i="28"/>
  <c r="N76" i="28" l="1"/>
  <c r="G77" i="34" l="1"/>
  <c r="G78" i="34" l="1"/>
  <c r="G79" i="34" l="1"/>
  <c r="G80" i="34" l="1"/>
  <c r="G81" i="34" l="1"/>
  <c r="G82" i="34" l="1"/>
  <c r="G83" i="34" l="1"/>
  <c r="G84" i="34" l="1"/>
  <c r="G86" i="34" l="1"/>
  <c r="G85" i="34"/>
</calcChain>
</file>

<file path=xl/sharedStrings.xml><?xml version="1.0" encoding="utf-8"?>
<sst xmlns="http://schemas.openxmlformats.org/spreadsheetml/2006/main" count="379" uniqueCount="283">
  <si>
    <t>Student</t>
  </si>
  <si>
    <t>Stefan Cline</t>
  </si>
  <si>
    <t>Course</t>
  </si>
  <si>
    <t>Math 371 Elementary Computational Methods</t>
  </si>
  <si>
    <t xml:space="preserve">Module </t>
  </si>
  <si>
    <t xml:space="preserve">Homework </t>
  </si>
  <si>
    <t>Contents (per sheet)</t>
  </si>
  <si>
    <t xml:space="preserve"> </t>
  </si>
  <si>
    <t>*Note: MacroDump sheet is the last sheet in the event something causes the macros not to work. All fully written programs can be viewed there in plain text</t>
  </si>
  <si>
    <t>Macro Dump Page</t>
  </si>
  <si>
    <t xml:space="preserve">Solution: </t>
  </si>
  <si>
    <t>Linear</t>
  </si>
  <si>
    <t>Power</t>
  </si>
  <si>
    <t>x</t>
  </si>
  <si>
    <t>y</t>
  </si>
  <si>
    <t>Sy, ln y</t>
  </si>
  <si>
    <t>Sx, x</t>
  </si>
  <si>
    <t>Sx, ln x</t>
  </si>
  <si>
    <t>Sy, y</t>
  </si>
  <si>
    <t>Sxy, xy</t>
  </si>
  <si>
    <t>Sxx, xx</t>
  </si>
  <si>
    <t>Sxy, lnxlny</t>
  </si>
  <si>
    <t>Sxx, lnxlnx</t>
  </si>
  <si>
    <t>Sxy, xlny</t>
  </si>
  <si>
    <t>We provide the calculations below that give the above coefficients and equations</t>
  </si>
  <si>
    <t>Coefficent</t>
  </si>
  <si>
    <t>Value</t>
  </si>
  <si>
    <t>Year</t>
  </si>
  <si>
    <t>Population</t>
  </si>
  <si>
    <t>Exponential</t>
  </si>
  <si>
    <t>*Green highlight is used in the equation</t>
  </si>
  <si>
    <t>Final Exam</t>
  </si>
  <si>
    <t>Problem #4</t>
  </si>
  <si>
    <t>Consider the following data</t>
  </si>
  <si>
    <t xml:space="preserve">As such our three equations from our calculated values are: </t>
  </si>
  <si>
    <t>Count</t>
  </si>
  <si>
    <t>Part a)</t>
  </si>
  <si>
    <t>Part b)</t>
  </si>
  <si>
    <t xml:space="preserve">We've now been asked to do a trend line analysis for each plot. </t>
  </si>
  <si>
    <t xml:space="preserve">By looking at each of these plots it's clear that the linear plot isn't the best. However the power and exponential plots look almost idential. At the very end of the plot you can see that </t>
  </si>
  <si>
    <t>Power r - Exp. R=</t>
  </si>
  <si>
    <t xml:space="preserve">Part c) </t>
  </si>
  <si>
    <t xml:space="preserve">We will have to look at our calculated values for r to determine which is the best. </t>
  </si>
  <si>
    <t xml:space="preserve">Our power curve being slightly better than our exponential curve happens to match up with what we otherwise see from our r values, but just barely! </t>
  </si>
  <si>
    <t xml:space="preserve">The delta between the two is just: 0.0014743, meaning we're roughly .15% better off using the power curve as opposed to the expontential curve. </t>
  </si>
  <si>
    <t>Part d)</t>
  </si>
  <si>
    <t>y at 1987=</t>
  </si>
  <si>
    <t xml:space="preserve">We start with our plot to visualize our data. We notice it has a nice upward trend that doesn't seem to be a smooth curve or quite a line so we'll need to analyze it further. </t>
  </si>
  <si>
    <t>Given our data, and given that 1987 is within our original dataset, (so we're interpolating instead of extrapolating), we can be fairly certain that the population in 1987 was close to 1,435,052</t>
  </si>
  <si>
    <t>Problem 2 (a-d)</t>
  </si>
  <si>
    <t>Problem 4 (a-d)</t>
  </si>
  <si>
    <t>Variable</t>
  </si>
  <si>
    <t>a</t>
  </si>
  <si>
    <t>b</t>
  </si>
  <si>
    <t>n</t>
  </si>
  <si>
    <t>Now for our sub-intervals</t>
  </si>
  <si>
    <t>Graphically this means we'll have 20 subintervals, all with an equal width of 0.35</t>
  </si>
  <si>
    <t>We can first list out our givens and observe the function graphically</t>
  </si>
  <si>
    <t>Now to use the equation for the trapezoid rule to calculate at n=20</t>
  </si>
  <si>
    <t xml:space="preserve">Integral approximation: </t>
  </si>
  <si>
    <t>Sum</t>
  </si>
  <si>
    <t>Columns, k</t>
  </si>
  <si>
    <t>Row, r</t>
  </si>
  <si>
    <t>n total</t>
  </si>
  <si>
    <t>Integral Approximation</t>
  </si>
  <si>
    <t>Trapezoid Approximation at n</t>
  </si>
  <si>
    <t>Richardson Extrapolation</t>
  </si>
  <si>
    <t>Romberg Integration 1</t>
  </si>
  <si>
    <t>Romberg Integration 2</t>
  </si>
  <si>
    <t>Romberg Integration 3</t>
  </si>
  <si>
    <t>*Note that here each of the cells follows the formula to the right</t>
  </si>
  <si>
    <t xml:space="preserve">we're able to simply pull the formula across by locking in cells and </t>
  </si>
  <si>
    <t>also not having to calculate out each 4 power minus 1 value</t>
  </si>
  <si>
    <t>n = 16</t>
  </si>
  <si>
    <t>n = 8</t>
  </si>
  <si>
    <t>n = 4</t>
  </si>
  <si>
    <t>n =2</t>
  </si>
  <si>
    <t>n =1</t>
  </si>
  <si>
    <t xml:space="preserve">*Note, first and last, like the equation above, won't be multiplied by 2 and </t>
  </si>
  <si>
    <t>are highlighted light yellow for that reason</t>
  </si>
  <si>
    <t>Part c)</t>
  </si>
  <si>
    <t>Rule</t>
  </si>
  <si>
    <t>1/3</t>
  </si>
  <si>
    <t>3/8</t>
  </si>
  <si>
    <t xml:space="preserve">Overall Approximation: </t>
  </si>
  <si>
    <t>Factor (fact.)</t>
  </si>
  <si>
    <t>Here because n has changed to 7, we'll find our delta x again and calculate from there</t>
  </si>
  <si>
    <t>It seems odd that our values immediately converged. We'll see if this is appropriate when we calculate the exact value of the integral</t>
  </si>
  <si>
    <t xml:space="preserve">This makes perfect sense. Our two values are both the same and both exact. Simpson's rule approximates polynomials. </t>
  </si>
  <si>
    <t xml:space="preserve">Given that our function is a polynomial, there's nothing to approximate and so both doing 3/8 first or second </t>
  </si>
  <si>
    <t xml:space="preserve">and 1/3 second or first respectively makes no difference. We should expect for part d that we get </t>
  </si>
  <si>
    <t xml:space="preserve">the answer of 1023.75 as the exact calculation. </t>
  </si>
  <si>
    <t xml:space="preserve">As such we could go about calculating the errors for the Simpson's rule, however this would be a waste of time, as it, compared </t>
  </si>
  <si>
    <t xml:space="preserve">to the exact, would be the same, i.e. our errors would be 0. </t>
  </si>
  <si>
    <t xml:space="preserve">Let's find the exact answer: </t>
  </si>
  <si>
    <t xml:space="preserve">As expected it's the same as our Simpson's results. </t>
  </si>
  <si>
    <t xml:space="preserve">Here we have a fourth derivative in the max error and a third derivative in the average error. </t>
  </si>
  <si>
    <t>Our function is x cubed so</t>
  </si>
  <si>
    <t xml:space="preserve">If we were to plug in 6 to our average equation we'd simply get 6-6=0, multiplied by a constant gives 0, as such that value is zero. </t>
  </si>
  <si>
    <t xml:space="preserve">The same idea applies to the max error, where if we plugged in the 4th derivative, i.e. 0, we'd get 0 times a constant which is zero. </t>
  </si>
  <si>
    <t xml:space="preserve">To see why this is the case from the perspective of the equations: </t>
  </si>
  <si>
    <t>Compared to a)</t>
  </si>
  <si>
    <t>Compared to b)</t>
  </si>
  <si>
    <t>Compared to c)</t>
  </si>
  <si>
    <t xml:space="preserve">Our approximation was: 1025.679375, this minus 1023.75 gives: </t>
  </si>
  <si>
    <t xml:space="preserve">this value divided by our exact gives: </t>
  </si>
  <si>
    <t>Which isn't too far off, especially with such a sharply rising curve and only 20 sub intervals</t>
  </si>
  <si>
    <t>However it clearly isn't as good as Simpson's or the Romberg/Richardson calculations</t>
  </si>
  <si>
    <t xml:space="preserve">This was impressive! After 1 iteration it already landed perfectly without rounding error onto the exact value for all four of the richardson extrapolations. </t>
  </si>
  <si>
    <t xml:space="preserve">This made the successive Romberg calculations more tedious than anything as we'd already landed on the exact value. </t>
  </si>
  <si>
    <t xml:space="preserve"> (or roughly 0.19%)</t>
  </si>
  <si>
    <t xml:space="preserve">Part c again was to be expected. Simpson's rule approximates curves using polynomials. So it's no surprise that it perfectly matched the integration value with either technique. </t>
  </si>
  <si>
    <t xml:space="preserve">We state our givens: </t>
  </si>
  <si>
    <t>Problem:</t>
  </si>
  <si>
    <t>Exact</t>
  </si>
  <si>
    <t xml:space="preserve">Equations: </t>
  </si>
  <si>
    <t>Euler</t>
  </si>
  <si>
    <t>Huen</t>
  </si>
  <si>
    <t>Runge-Kutta</t>
  </si>
  <si>
    <t>Where:</t>
  </si>
  <si>
    <t>Euler's Method</t>
  </si>
  <si>
    <t>(Note: used as y* for Huen Calculations)</t>
  </si>
  <si>
    <t>*Used for all as delta t doesn't change</t>
  </si>
  <si>
    <t>Huen's Method</t>
  </si>
  <si>
    <t>Runge-Kutta Method</t>
  </si>
  <si>
    <t>Error (same for all approximations)</t>
  </si>
  <si>
    <t xml:space="preserve">As desired we: </t>
  </si>
  <si>
    <t>a) Evaluated using the Trapezoid Rule with n = 20</t>
  </si>
  <si>
    <t>b) Performed Richardson and Romberg to termination in Excel.</t>
  </si>
  <si>
    <t xml:space="preserve">c) Evaluated with n = 7 using Simpson's Rule and found the average and maximum errors. </t>
  </si>
  <si>
    <t xml:space="preserve">d) Found the exact solution and compared to parts (a), (b), and (c). </t>
  </si>
  <si>
    <t>As desired we:</t>
  </si>
  <si>
    <t xml:space="preserve">a) Performed linear, power, and exponential fits for the given data. </t>
  </si>
  <si>
    <t>b) Ran trendline analysis for linear, power, and exponential fit using a scatterplot.</t>
  </si>
  <si>
    <t>c) Interpreted the results and picked the best fit for the data</t>
  </si>
  <si>
    <t>d) Used our findings to determine the most accurate approximation for the population in 1987.</t>
  </si>
  <si>
    <t xml:space="preserve">As desired we used Euler's, Huen's and the Runge-Kutta methods to approximate the values of our curve and interpreted the results. </t>
  </si>
  <si>
    <t xml:space="preserve">We can see that the method does a decent job at approximating the curve (especially qualitatively), however there is a noticeable gap between our exact equation and our Euler's approximation. </t>
  </si>
  <si>
    <t xml:space="preserve">Immediately we see that this is a much better fit. That also makes sense given non of our error calculations are above 1%. We still however can see slightly in some areas where it comes off the curve so there's room for imporvement. </t>
  </si>
  <si>
    <t>As expected the Runge-Kutta method has delievered error values that are miniscule compared to</t>
  </si>
  <si>
    <t xml:space="preserve">the other methods we've used. In the chart to the right it seems impossible to tell </t>
  </si>
  <si>
    <t>that there are two distinct curves. With each error being so low (thousandths of a percent)</t>
  </si>
  <si>
    <t xml:space="preserve">this isn't surprising. </t>
  </si>
  <si>
    <t>Problem #5 d</t>
  </si>
  <si>
    <t>Problem #5 a,b, and c</t>
  </si>
  <si>
    <t>Problem 5d</t>
  </si>
  <si>
    <t xml:space="preserve">Givens: </t>
  </si>
  <si>
    <t>Exact:</t>
  </si>
  <si>
    <t xml:space="preserve">Error Equation: </t>
  </si>
  <si>
    <t xml:space="preserve">User Instructions: </t>
  </si>
  <si>
    <t>y(1)=</t>
  </si>
  <si>
    <t xml:space="preserve">This program will calculate various steps and iterations of Euler's Method for the equation: </t>
  </si>
  <si>
    <t>Approximation at n</t>
  </si>
  <si>
    <t>1a. Enter delta t, the step size</t>
  </si>
  <si>
    <t>1b. Enter the initial condition for y (Ex. y(0)=2, enter "2")</t>
  </si>
  <si>
    <t>1c. Enter the initial condition for t (Ex. y(0)=2, enter "0")</t>
  </si>
  <si>
    <t>1. Enter the initial conditions into the green highlighted cells below</t>
  </si>
  <si>
    <t>3. Press the macro button to run the program</t>
  </si>
  <si>
    <t>1a</t>
  </si>
  <si>
    <t>1b</t>
  </si>
  <si>
    <t>1c</t>
  </si>
  <si>
    <t>2. Enter the desired final t value being approximated into the last green highlighted cell (Ex. Find y(1), enter "1")</t>
  </si>
  <si>
    <t>4. The answer should be displayed in the table to the right</t>
  </si>
  <si>
    <t>We notice that after 16 comes 32, so though the first problem wanted us to find n = 20, here we'll only be able to go up to n = 16.</t>
  </si>
  <si>
    <t>Mult. by 2 (skip a and b)</t>
  </si>
  <si>
    <t xml:space="preserve">Now that we know the best curve is in fact the power curve, we'll plug our desired value of 1987 into the equation for the power curve and determine our result: </t>
  </si>
  <si>
    <t xml:space="preserve">Our correlation coefficient for our power curve is close to 1. Our expontential is close to 0.9 and our linear is clearly the furthest off. </t>
  </si>
  <si>
    <t xml:space="preserve">Note to Grader: </t>
  </si>
  <si>
    <t>I had planned on doing input boxes for the various values of the initial t and y, as well as the step size</t>
  </si>
  <si>
    <t>and desired final t value, however even with the most simple of code such as</t>
  </si>
  <si>
    <t>Dim delt, t as Double</t>
  </si>
  <si>
    <t>Do While i &lt; 10</t>
  </si>
  <si>
    <t>t = delt + t</t>
  </si>
  <si>
    <t>i = i + 1</t>
  </si>
  <si>
    <t>Loop</t>
  </si>
  <si>
    <t xml:space="preserve">It kept forcing all of my values to be read as strings when I'd defined nothing as a string and even addeded things like: </t>
  </si>
  <si>
    <t>delt = delt + 1# - 1#</t>
  </si>
  <si>
    <t xml:space="preserve">In the end I would get this as an output </t>
  </si>
  <si>
    <t xml:space="preserve">to try force it to recognize itself as double. </t>
  </si>
  <si>
    <t>VBA simply wasn't cooperating after my computer went through a windows update…</t>
  </si>
  <si>
    <t>what was happening I couldn't make the program work otherwise...</t>
  </si>
  <si>
    <t>Problem 1c</t>
  </si>
  <si>
    <t>Problem #1c</t>
  </si>
  <si>
    <t xml:space="preserve">Lastly our Approximate Relative Error was calculated using: </t>
  </si>
  <si>
    <t>From</t>
  </si>
  <si>
    <t>To</t>
  </si>
  <si>
    <t>x_</t>
  </si>
  <si>
    <t>x_0</t>
  </si>
  <si>
    <t>x_1</t>
  </si>
  <si>
    <t xml:space="preserve">x_2 </t>
  </si>
  <si>
    <t>x_2</t>
  </si>
  <si>
    <t>x_3</t>
  </si>
  <si>
    <t>x_4</t>
  </si>
  <si>
    <t>x_5</t>
  </si>
  <si>
    <t>x_6</t>
  </si>
  <si>
    <t>x_7</t>
  </si>
  <si>
    <t>x_8</t>
  </si>
  <si>
    <t>x_9</t>
  </si>
  <si>
    <t>x_10</t>
  </si>
  <si>
    <t>x_11</t>
  </si>
  <si>
    <t>x_12</t>
  </si>
  <si>
    <t>x_13</t>
  </si>
  <si>
    <t>x_14</t>
  </si>
  <si>
    <t>x_15</t>
  </si>
  <si>
    <t>x_16</t>
  </si>
  <si>
    <t>x_17</t>
  </si>
  <si>
    <t>x_18</t>
  </si>
  <si>
    <t>x_19</t>
  </si>
  <si>
    <t>Formulas used:</t>
  </si>
  <si>
    <t xml:space="preserve"> =ABS((D34-D33)/D34)*100</t>
  </si>
  <si>
    <t>Our value from part a was the positive square-root of 0.7</t>
  </si>
  <si>
    <t>Square root 0.7=</t>
  </si>
  <si>
    <t xml:space="preserve">Rounding </t>
  </si>
  <si>
    <t>This means our starting point will be 0.84</t>
  </si>
  <si>
    <t>For the newton raphson method we need to find f(x) and f'(x)</t>
  </si>
  <si>
    <t>Note* How to find derivative of sec(x)
d/dx(cos x)= -sin(x)</t>
  </si>
  <si>
    <t>The formula used for the Newton-Raphson Method:</t>
  </si>
  <si>
    <t xml:space="preserve">The program below will compute the above. The approximate relative error has been done to see if our approximations are actually converging or if they're diverging. </t>
  </si>
  <si>
    <t>Given the nature of our function being a steady slope that's tangents point nicely towards the x axis (much like a squared parabola) and our starting point being close</t>
  </si>
  <si>
    <t xml:space="preserve">we should be able to decently quickly approach some kind of a near exact value. </t>
  </si>
  <si>
    <t xml:space="preserve">Exact answer found by graphing gives approximately: </t>
  </si>
  <si>
    <t xml:space="preserve">This is somewhat funny as the calculator has run out of digits it's willing to provide. By our third iteration we see </t>
  </si>
  <si>
    <t xml:space="preserve">we're already converging on a value past 9 digits. </t>
  </si>
  <si>
    <t>(namely)</t>
  </si>
  <si>
    <t xml:space="preserve">There is no discrepency (technically there is as we'll never find the absolute exact perfect solution but practically there isn't one). </t>
  </si>
  <si>
    <t xml:space="preserve">This makes a lot of sense. Our initial curve looks like the following: </t>
  </si>
  <si>
    <t xml:space="preserve">Compared to an x squared graph, this really isn't all that much different. Also, with our initial value being at 0.84, we're already close. </t>
  </si>
  <si>
    <t>The key though is to observe that the first tangent line continuously put's us in a nice place for iterative tangents all the way until we're "squeezed" onto the point</t>
  </si>
  <si>
    <t xml:space="preserve">This miniscule gap, along with the curvature of the function, means our second and third iterations should converge rapidly. </t>
  </si>
  <si>
    <t xml:space="preserve">We can also see that that infact is what's happening as our approximate realative error drops rapidly with each iteration, showing convergence. </t>
  </si>
  <si>
    <t xml:space="preserve">As desired we've rounded our value from part a, computed three iterations of NewtonRaphson in excel, graphed it, interpreted our solution, and disucssed why there wasn't a discrepancy. </t>
  </si>
  <si>
    <t>Problem 5 (abc)</t>
  </si>
  <si>
    <t>Public Sub Problem_5d_Final_Exam()</t>
  </si>
  <si>
    <t>Rem This program will calculate various iterations of the Euler Method for the Final Exam</t>
  </si>
  <si>
    <t>' It will first define our variables and then use those variables in the calculations</t>
  </si>
  <si>
    <t>Dim n, i, j As Integer</t>
  </si>
  <si>
    <t>Dim delt, tn, tlast, yn, Et, tncheck, tnlastcheck, x, y As Double</t>
  </si>
  <si>
    <t>delt = Cells(47, "C")</t>
  </si>
  <si>
    <t>yn = Cells(48, "C")</t>
  </si>
  <si>
    <t>tn = Cells(49, "C")</t>
  </si>
  <si>
    <t>tlast = Cells(50, "C")</t>
  </si>
  <si>
    <t>If delt &lt; 0 Then</t>
  </si>
  <si>
    <t xml:space="preserve">    MsgBox ("Terminating program. Please re-enter a value that is greater than 0 for Delta t.")</t>
  </si>
  <si>
    <t xml:space="preserve">    GoTo 1:</t>
  </si>
  <si>
    <t>End If</t>
  </si>
  <si>
    <t>If tn &gt;= tlast Then</t>
  </si>
  <si>
    <t xml:space="preserve">    MsgBox ("Terminating program. Please make sure the final desired t value greater than the initial t value.")</t>
  </si>
  <si>
    <t>If Not IsNumeric(delt) Then</t>
  </si>
  <si>
    <t xml:space="preserve">    MsgBox ("Terminating Program: Please check that the values you have entered in the green boxes are numbers.")</t>
  </si>
  <si>
    <t>If Not IsNumeric(yn) Then</t>
  </si>
  <si>
    <t>If Not IsNumeric(tlast) Then</t>
  </si>
  <si>
    <t>If Not IsNumeric(tn) Then</t>
  </si>
  <si>
    <t>x = (tn - tlast) / delt</t>
  </si>
  <si>
    <t>y = Round(x, 0)</t>
  </si>
  <si>
    <t>If (x - y) &lt;&gt; 0 Then</t>
  </si>
  <si>
    <t xml:space="preserve">    MsgBox "Terminating the program: Please re-enter values for the initial t, the final t, or delta t. Note: The last t value minus the initial t value, must be divisible by delta t."</t>
  </si>
  <si>
    <t>i = 0</t>
  </si>
  <si>
    <t>Do While i &lt; 20 And (tn &lt;= tlast)</t>
  </si>
  <si>
    <t xml:space="preserve">    Cells(53 + i, "C") = i</t>
  </si>
  <si>
    <t xml:space="preserve">    Cells(53 + i, "D") = tn</t>
  </si>
  <si>
    <t xml:space="preserve">    Cells(53 + i, "E") = yn</t>
  </si>
  <si>
    <t xml:space="preserve">    Cells(53 + i, "F") = (2 * tn) + (3 * Exp(-2 * tn)) - 1</t>
  </si>
  <si>
    <t xml:space="preserve">    Cells(53 + i, "G") = Abs(Cells(53 + i, "F") - yn)</t>
  </si>
  <si>
    <t xml:space="preserve">    x = yn</t>
  </si>
  <si>
    <t xml:space="preserve">    y = tn</t>
  </si>
  <si>
    <t xml:space="preserve">    yn = yn + ((4 * tn - 2 * yn) * delt)</t>
  </si>
  <si>
    <t xml:space="preserve">    i = i + 1</t>
  </si>
  <si>
    <t xml:space="preserve">    tn = tn + delt</t>
  </si>
  <si>
    <t>Cells(53, "I") = i - 1</t>
  </si>
  <si>
    <t>Cells(53, "J") = y</t>
  </si>
  <si>
    <t>Cells(53, "K") = x</t>
  </si>
  <si>
    <t>MsgBox "Program Complete. See highlighted yellow cells for desired approximation of tn= " &amp; y</t>
  </si>
  <si>
    <t>End Sub</t>
  </si>
  <si>
    <t xml:space="preserve"> 1:</t>
  </si>
  <si>
    <t>Problem #2 (a-d)</t>
  </si>
  <si>
    <t xml:space="preserve">In order to do our Romberg and Richardson to completion, we first need to find the trapezoidal approximations for each n that are multiples of 2. </t>
  </si>
  <si>
    <t>the power curve starts to be a little closer to the last data point, so a good eyeball guess would be the power curve. This is substantiated by a higher R^2 from excel and higher r from our calculations</t>
  </si>
  <si>
    <t xml:space="preserve">Therefore, the power curve is the best fit. </t>
  </si>
  <si>
    <t xml:space="preserve">Lastly, to compare them all together we can plot them on one large joined scatter plot: </t>
  </si>
  <si>
    <t xml:space="preserve">It is now impossible to see any difference between Runge-Kutta and the exact curve. By zooming in enough we can still see a slight gap between Huen's and the exact. And as before Euler's is still the least accurate. </t>
  </si>
  <si>
    <t>Simpson 1/3</t>
  </si>
  <si>
    <t>Simpson 3/8</t>
  </si>
  <si>
    <t>Therefore the "in cell" inputs are used below (which I know aren't preffered) but given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</si>
</sst>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0000000"/>
    <numFmt numFmtId="165" formatCode="0.0000"/>
    <numFmt numFmtId="166" formatCode="0.000000"/>
    <numFmt numFmtId="167" formatCode="0.0"/>
    <numFmt numFmtId="168" formatCode="0.0000000"/>
    <numFmt numFmtId="169" formatCode="0.00000"/>
    <numFmt numFmtId="170" formatCode="0.000"/>
    <numFmt numFmtId="171" formatCode="0.00000000"/>
  </numFmts>
  <fonts count="20"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sz val="11"/>
      <color rgb="FFFF0000"/>
      <name val="Calibri"/>
      <family val="2"/>
      <scheme val="minor"/>
    </font>
    <font>
      <sz val="11"/>
      <color rgb="FF00B050"/>
      <name val="Calibri"/>
      <family val="2"/>
      <scheme val="minor"/>
    </font>
    <font>
      <b/>
      <sz val="11"/>
      <color theme="0"/>
      <name val="Calibri"/>
      <family val="2"/>
      <scheme val="minor"/>
    </font>
    <font>
      <sz val="11"/>
      <color theme="1"/>
      <name val="Calibri"/>
      <family val="2"/>
      <scheme val="minor"/>
    </font>
    <font>
      <sz val="11"/>
      <color rgb="FFFFC000"/>
      <name val="Calibri"/>
      <family val="2"/>
      <scheme val="minor"/>
    </font>
    <font>
      <b/>
      <sz val="12"/>
      <color rgb="FFFF0000"/>
      <name val="Calibri"/>
      <family val="2"/>
      <scheme val="minor"/>
    </font>
    <font>
      <b/>
      <sz val="12"/>
      <color rgb="FFFFC000"/>
      <name val="Calibri"/>
      <family val="2"/>
      <scheme val="minor"/>
    </font>
    <font>
      <b/>
      <sz val="12"/>
      <color rgb="FF00B050"/>
      <name val="Calibri"/>
      <family val="2"/>
      <scheme val="minor"/>
    </font>
    <font>
      <b/>
      <sz val="14"/>
      <color theme="1"/>
      <name val="Calibri"/>
      <family val="2"/>
      <scheme val="minor"/>
    </font>
    <font>
      <sz val="8"/>
      <name val="Calibri"/>
      <family val="2"/>
      <scheme val="minor"/>
    </font>
    <font>
      <sz val="11"/>
      <color theme="4" tint="-0.249977111117893"/>
      <name val="Calibri"/>
      <family val="2"/>
      <scheme val="minor"/>
    </font>
    <font>
      <b/>
      <sz val="11"/>
      <color theme="1"/>
      <name val="Arial"/>
      <family val="2"/>
    </font>
    <font>
      <sz val="11"/>
      <color theme="1"/>
      <name val="Arial"/>
      <family val="2"/>
    </font>
    <font>
      <sz val="11"/>
      <color rgb="FF000000"/>
      <name val="Calibri"/>
      <family val="2"/>
    </font>
    <font>
      <sz val="11"/>
      <color theme="0"/>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43" fontId="8" fillId="0" borderId="0" applyFont="0" applyFill="0" applyBorder="0" applyAlignment="0" applyProtection="0"/>
  </cellStyleXfs>
  <cellXfs count="122">
    <xf numFmtId="0" fontId="0" fillId="0" borderId="0" xfId="0"/>
    <xf numFmtId="0" fontId="2" fillId="0" borderId="0" xfId="0" applyFont="1"/>
    <xf numFmtId="0" fontId="2" fillId="0" borderId="0" xfId="0" applyFont="1" applyAlignment="1">
      <alignment horizontal="left"/>
    </xf>
    <xf numFmtId="0" fontId="3" fillId="0" borderId="0" xfId="0" applyFont="1"/>
    <xf numFmtId="0" fontId="1" fillId="0" borderId="0" xfId="0" applyFont="1"/>
    <xf numFmtId="0" fontId="4" fillId="0" borderId="0" xfId="0" applyFont="1"/>
    <xf numFmtId="0" fontId="0" fillId="2" borderId="0" xfId="0" applyFill="1"/>
    <xf numFmtId="0" fontId="3" fillId="3" borderId="0" xfId="0" applyFont="1" applyFill="1"/>
    <xf numFmtId="0" fontId="0" fillId="0" borderId="0" xfId="0" applyFill="1"/>
    <xf numFmtId="0" fontId="0" fillId="0" borderId="0" xfId="0" applyAlignment="1">
      <alignment horizontal="center"/>
    </xf>
    <xf numFmtId="20" fontId="0" fillId="0" borderId="0" xfId="0" applyNumberFormat="1" applyFill="1"/>
    <xf numFmtId="0" fontId="0" fillId="0" borderId="2" xfId="0" applyBorder="1"/>
    <xf numFmtId="0" fontId="0" fillId="0" borderId="3" xfId="0" applyBorder="1"/>
    <xf numFmtId="0" fontId="0" fillId="0" borderId="4" xfId="0" applyBorder="1" applyAlignment="1">
      <alignment horizontal="center"/>
    </xf>
    <xf numFmtId="1" fontId="0" fillId="0" borderId="2" xfId="0" applyNumberFormat="1" applyBorder="1"/>
    <xf numFmtId="0" fontId="0" fillId="0" borderId="4" xfId="0" applyFill="1" applyBorder="1" applyAlignment="1">
      <alignment horizontal="center"/>
    </xf>
    <xf numFmtId="2" fontId="0" fillId="0" borderId="2" xfId="0" applyNumberFormat="1" applyFill="1" applyBorder="1"/>
    <xf numFmtId="0" fontId="0" fillId="0" borderId="2" xfId="0" applyFill="1" applyBorder="1"/>
    <xf numFmtId="164" fontId="0" fillId="0" borderId="2" xfId="0" applyNumberFormat="1" applyFill="1" applyBorder="1"/>
    <xf numFmtId="1" fontId="0" fillId="0" borderId="2" xfId="0" applyNumberFormat="1" applyFill="1" applyBorder="1"/>
    <xf numFmtId="164" fontId="0" fillId="4" borderId="2" xfId="0" applyNumberFormat="1" applyFill="1" applyBorder="1"/>
    <xf numFmtId="0" fontId="0" fillId="4" borderId="2" xfId="0" applyFill="1" applyBorder="1"/>
    <xf numFmtId="0" fontId="0" fillId="5" borderId="2" xfId="0" applyFill="1" applyBorder="1"/>
    <xf numFmtId="0" fontId="7" fillId="6" borderId="0" xfId="0" applyFont="1" applyFill="1" applyAlignment="1">
      <alignment horizontal="center"/>
    </xf>
    <xf numFmtId="165" fontId="0" fillId="0" borderId="2" xfId="0" applyNumberFormat="1" applyFill="1" applyBorder="1"/>
    <xf numFmtId="0" fontId="0" fillId="0" borderId="5" xfId="0" applyBorder="1" applyAlignment="1">
      <alignment horizontal="center"/>
    </xf>
    <xf numFmtId="0" fontId="1" fillId="0" borderId="2" xfId="0" applyFont="1" applyBorder="1"/>
    <xf numFmtId="0" fontId="0" fillId="0" borderId="2" xfId="0" applyBorder="1" applyAlignment="1">
      <alignment horizontal="center"/>
    </xf>
    <xf numFmtId="15" fontId="2" fillId="0" borderId="0" xfId="0" applyNumberFormat="1" applyFont="1" applyAlignment="1">
      <alignment horizontal="left"/>
    </xf>
    <xf numFmtId="0" fontId="0" fillId="0" borderId="0" xfId="0" applyAlignment="1">
      <alignment wrapText="1"/>
    </xf>
    <xf numFmtId="0" fontId="0" fillId="0" borderId="0" xfId="0" applyAlignment="1"/>
    <xf numFmtId="0" fontId="0" fillId="0" borderId="0" xfId="0" applyBorder="1"/>
    <xf numFmtId="166" fontId="0" fillId="0" borderId="2" xfId="0" applyNumberFormat="1" applyBorder="1"/>
    <xf numFmtId="165" fontId="0" fillId="0" borderId="2" xfId="0" applyNumberFormat="1" applyBorder="1"/>
    <xf numFmtId="165" fontId="0" fillId="6" borderId="2" xfId="0" applyNumberFormat="1" applyFill="1" applyBorder="1"/>
    <xf numFmtId="1" fontId="0" fillId="4" borderId="2" xfId="0" applyNumberFormat="1" applyFill="1" applyBorder="1"/>
    <xf numFmtId="0" fontId="9" fillId="0" borderId="2" xfId="0" applyFont="1" applyBorder="1"/>
    <xf numFmtId="0" fontId="5" fillId="0" borderId="3" xfId="0" applyFont="1" applyBorder="1"/>
    <xf numFmtId="0" fontId="6" fillId="0" borderId="2" xfId="0" applyFont="1" applyBorder="1"/>
    <xf numFmtId="0" fontId="0" fillId="0" borderId="0" xfId="0" applyFill="1" applyBorder="1"/>
    <xf numFmtId="0" fontId="0" fillId="7" borderId="0" xfId="0" applyFill="1"/>
    <xf numFmtId="0" fontId="1" fillId="7" borderId="0" xfId="0" applyFont="1" applyFill="1"/>
    <xf numFmtId="43" fontId="0" fillId="0" borderId="0" xfId="1" applyFont="1"/>
    <xf numFmtId="0" fontId="0" fillId="2" borderId="2" xfId="0" applyFill="1" applyBorder="1"/>
    <xf numFmtId="3" fontId="0" fillId="0" borderId="0" xfId="0" applyNumberFormat="1" applyAlignment="1">
      <alignment horizontal="center"/>
    </xf>
    <xf numFmtId="0" fontId="10" fillId="0" borderId="3" xfId="0" applyFont="1" applyBorder="1"/>
    <xf numFmtId="0" fontId="11" fillId="0" borderId="2" xfId="0" applyFont="1" applyBorder="1"/>
    <xf numFmtId="0" fontId="12" fillId="0" borderId="2" xfId="0" applyFont="1" applyBorder="1"/>
    <xf numFmtId="0" fontId="13" fillId="0" borderId="0" xfId="0" applyFont="1"/>
    <xf numFmtId="0" fontId="0" fillId="0" borderId="0" xfId="0" applyAlignment="1">
      <alignment horizontal="center" wrapText="1"/>
    </xf>
    <xf numFmtId="0" fontId="0" fillId="4" borderId="2" xfId="0" applyFill="1" applyBorder="1" applyAlignment="1">
      <alignment horizontal="center"/>
    </xf>
    <xf numFmtId="0" fontId="0" fillId="0" borderId="1" xfId="0" applyBorder="1"/>
    <xf numFmtId="0" fontId="0" fillId="0" borderId="2" xfId="0" applyBorder="1" applyAlignment="1">
      <alignment wrapText="1"/>
    </xf>
    <xf numFmtId="0" fontId="0" fillId="0" borderId="2" xfId="0" applyBorder="1" applyAlignment="1">
      <alignment horizontal="center" vertical="center"/>
    </xf>
    <xf numFmtId="0" fontId="1" fillId="0" borderId="2" xfId="0" applyFont="1" applyBorder="1" applyAlignment="1">
      <alignment horizontal="center" vertical="center"/>
    </xf>
    <xf numFmtId="0" fontId="1" fillId="0" borderId="2" xfId="0" applyFont="1" applyBorder="1" applyAlignment="1">
      <alignment horizontal="center" vertical="center" wrapText="1"/>
    </xf>
    <xf numFmtId="0" fontId="1" fillId="0" borderId="2" xfId="0" applyFont="1" applyBorder="1" applyAlignment="1">
      <alignment horizontal="center"/>
    </xf>
    <xf numFmtId="167" fontId="0" fillId="0" borderId="2" xfId="0" applyNumberFormat="1" applyBorder="1"/>
    <xf numFmtId="0" fontId="0" fillId="8" borderId="2" xfId="0" applyFill="1" applyBorder="1"/>
    <xf numFmtId="0" fontId="0" fillId="0" borderId="8" xfId="0" applyBorder="1"/>
    <xf numFmtId="0" fontId="0" fillId="8" borderId="9" xfId="0" applyFill="1" applyBorder="1"/>
    <xf numFmtId="0" fontId="0" fillId="8" borderId="3" xfId="0" applyFill="1" applyBorder="1"/>
    <xf numFmtId="0" fontId="0" fillId="0" borderId="4" xfId="0" applyBorder="1" applyAlignment="1">
      <alignment wrapText="1"/>
    </xf>
    <xf numFmtId="0" fontId="0" fillId="0" borderId="2" xfId="0" applyBorder="1" applyAlignment="1">
      <alignment horizontal="left" vertical="center"/>
    </xf>
    <xf numFmtId="0" fontId="0" fillId="0" borderId="2" xfId="0" applyFill="1" applyBorder="1" applyAlignment="1">
      <alignment wrapText="1"/>
    </xf>
    <xf numFmtId="2" fontId="0" fillId="0" borderId="2" xfId="0" applyNumberFormat="1" applyBorder="1" applyAlignment="1">
      <alignment horizontal="center" vertical="center"/>
    </xf>
    <xf numFmtId="0" fontId="16" fillId="7" borderId="4" xfId="0" applyFont="1" applyFill="1" applyBorder="1"/>
    <xf numFmtId="0" fontId="16" fillId="7" borderId="4" xfId="0" applyFont="1" applyFill="1" applyBorder="1" applyAlignment="1">
      <alignment horizontal="center" vertical="center"/>
    </xf>
    <xf numFmtId="168" fontId="0" fillId="0" borderId="3" xfId="0" applyNumberFormat="1" applyBorder="1"/>
    <xf numFmtId="0" fontId="17" fillId="0" borderId="0" xfId="0" applyFont="1"/>
    <xf numFmtId="0" fontId="0" fillId="4" borderId="2" xfId="0" applyFill="1" applyBorder="1" applyAlignment="1">
      <alignment horizontal="center" vertical="center"/>
    </xf>
    <xf numFmtId="164" fontId="0" fillId="0" borderId="3" xfId="0" applyNumberFormat="1" applyBorder="1"/>
    <xf numFmtId="167" fontId="0" fillId="2" borderId="2" xfId="0" applyNumberFormat="1" applyFill="1" applyBorder="1"/>
    <xf numFmtId="0" fontId="0" fillId="0" borderId="3" xfId="0" applyFill="1" applyBorder="1"/>
    <xf numFmtId="167" fontId="0" fillId="0" borderId="3" xfId="0" applyNumberFormat="1" applyBorder="1"/>
    <xf numFmtId="167" fontId="0" fillId="0" borderId="0" xfId="0" applyNumberFormat="1"/>
    <xf numFmtId="0" fontId="0" fillId="0" borderId="2" xfId="0" applyBorder="1" applyAlignment="1">
      <alignment horizontal="center"/>
    </xf>
    <xf numFmtId="169" fontId="0" fillId="0" borderId="3" xfId="0" applyNumberFormat="1" applyBorder="1"/>
    <xf numFmtId="169" fontId="0" fillId="0" borderId="2" xfId="0" applyNumberFormat="1" applyBorder="1"/>
    <xf numFmtId="169" fontId="0" fillId="2" borderId="2" xfId="0" applyNumberFormat="1" applyFill="1" applyBorder="1"/>
    <xf numFmtId="170" fontId="0" fillId="4" borderId="2" xfId="0" applyNumberFormat="1" applyFill="1" applyBorder="1" applyAlignment="1">
      <alignment horizontal="center" vertical="center"/>
    </xf>
    <xf numFmtId="171" fontId="0" fillId="0" borderId="2" xfId="0" applyNumberFormat="1" applyBorder="1"/>
    <xf numFmtId="171" fontId="0" fillId="0" borderId="3" xfId="0" applyNumberFormat="1" applyBorder="1"/>
    <xf numFmtId="0" fontId="4" fillId="0" borderId="0" xfId="0" applyFont="1" applyAlignment="1">
      <alignment horizontal="center"/>
    </xf>
    <xf numFmtId="0" fontId="0" fillId="0" borderId="6" xfId="0" applyBorder="1" applyAlignment="1">
      <alignment horizontal="center" wrapText="1"/>
    </xf>
    <xf numFmtId="0" fontId="0" fillId="0" borderId="4" xfId="0" applyBorder="1" applyAlignment="1">
      <alignment horizontal="center" wrapText="1"/>
    </xf>
    <xf numFmtId="0" fontId="0" fillId="0" borderId="6" xfId="0" applyBorder="1" applyAlignment="1">
      <alignment horizontal="center" vertical="center" wrapText="1"/>
    </xf>
    <xf numFmtId="1" fontId="0" fillId="2" borderId="2" xfId="0" applyNumberFormat="1" applyFill="1" applyBorder="1" applyAlignment="1">
      <alignment horizontal="center" vertical="center"/>
    </xf>
    <xf numFmtId="0" fontId="0" fillId="2" borderId="2" xfId="0" applyFill="1" applyBorder="1" applyAlignment="1">
      <alignment horizontal="center" vertical="center"/>
    </xf>
    <xf numFmtId="0" fontId="0" fillId="2" borderId="2" xfId="0" applyFill="1" applyBorder="1" applyAlignment="1">
      <alignment horizontal="center"/>
    </xf>
    <xf numFmtId="0" fontId="0" fillId="0" borderId="0" xfId="0" applyAlignment="1">
      <alignment horizontal="left" vertical="center"/>
    </xf>
    <xf numFmtId="0" fontId="0" fillId="0" borderId="0" xfId="0" applyAlignment="1">
      <alignment horizontal="left"/>
    </xf>
    <xf numFmtId="0" fontId="1" fillId="7" borderId="2" xfId="0" applyFont="1" applyFill="1" applyBorder="1" applyAlignment="1">
      <alignment horizontal="center"/>
    </xf>
    <xf numFmtId="0" fontId="0" fillId="0" borderId="2" xfId="0" applyBorder="1" applyAlignment="1">
      <alignment horizontal="right"/>
    </xf>
    <xf numFmtId="0" fontId="0" fillId="0" borderId="2" xfId="0" applyBorder="1" applyAlignment="1">
      <alignment horizontal="left"/>
    </xf>
    <xf numFmtId="164" fontId="0" fillId="0" borderId="2" xfId="0" applyNumberFormat="1" applyBorder="1"/>
    <xf numFmtId="0" fontId="0" fillId="4" borderId="2" xfId="0" applyFill="1" applyBorder="1" applyAlignment="1">
      <alignment horizontal="left"/>
    </xf>
    <xf numFmtId="0" fontId="0" fillId="0" borderId="0" xfId="0" applyAlignment="1">
      <alignment vertical="top"/>
    </xf>
    <xf numFmtId="0" fontId="0" fillId="0" borderId="0" xfId="0" applyAlignment="1">
      <alignment vertical="top" wrapText="1"/>
    </xf>
    <xf numFmtId="0" fontId="0" fillId="0" borderId="0" xfId="0" applyAlignment="1">
      <alignment horizontal="right"/>
    </xf>
    <xf numFmtId="164" fontId="0" fillId="0" borderId="0" xfId="0" applyNumberFormat="1"/>
    <xf numFmtId="0" fontId="4" fillId="0" borderId="0" xfId="0" applyFont="1" applyAlignment="1">
      <alignment horizontal="left" vertical="top" wrapText="1"/>
    </xf>
    <xf numFmtId="0" fontId="1" fillId="9" borderId="2" xfId="0" applyFont="1" applyFill="1" applyBorder="1" applyAlignment="1">
      <alignment horizontal="center"/>
    </xf>
    <xf numFmtId="49" fontId="0" fillId="0" borderId="2" xfId="0" applyNumberFormat="1" applyBorder="1" applyAlignment="1">
      <alignment horizontal="center" vertical="center"/>
    </xf>
    <xf numFmtId="49" fontId="0" fillId="0" borderId="5" xfId="0" applyNumberFormat="1" applyBorder="1" applyAlignment="1">
      <alignment horizontal="center" vertical="center"/>
    </xf>
    <xf numFmtId="49" fontId="0" fillId="0" borderId="10" xfId="0" applyNumberFormat="1" applyBorder="1" applyAlignment="1">
      <alignment horizontal="center" vertical="center"/>
    </xf>
    <xf numFmtId="49" fontId="0" fillId="0" borderId="3" xfId="0" applyNumberFormat="1" applyBorder="1" applyAlignment="1">
      <alignment horizontal="center" vertical="center"/>
    </xf>
    <xf numFmtId="0" fontId="0" fillId="0" borderId="2" xfId="0" applyBorder="1" applyAlignment="1">
      <alignment horizontal="center"/>
    </xf>
    <xf numFmtId="0" fontId="15" fillId="0" borderId="2" xfId="0" applyFont="1" applyBorder="1" applyAlignment="1">
      <alignment horizontal="center"/>
    </xf>
    <xf numFmtId="0" fontId="1" fillId="0" borderId="2" xfId="0" applyFont="1" applyBorder="1" applyAlignment="1">
      <alignment horizontal="center"/>
    </xf>
    <xf numFmtId="0" fontId="1" fillId="4" borderId="2" xfId="0" applyFont="1" applyFill="1" applyBorder="1" applyAlignment="1">
      <alignment horizontal="center"/>
    </xf>
    <xf numFmtId="0" fontId="5" fillId="0" borderId="2" xfId="0" applyFont="1" applyBorder="1" applyAlignment="1">
      <alignment horizontal="center"/>
    </xf>
    <xf numFmtId="164" fontId="0" fillId="2" borderId="2" xfId="0" applyNumberFormat="1" applyFill="1"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0" fillId="0" borderId="4" xfId="0" applyBorder="1" applyAlignment="1">
      <alignment horizontal="center"/>
    </xf>
    <xf numFmtId="0" fontId="1" fillId="4" borderId="2" xfId="0" applyFont="1" applyFill="1" applyBorder="1" applyAlignment="1">
      <alignment horizontal="left"/>
    </xf>
    <xf numFmtId="0" fontId="1" fillId="0" borderId="1" xfId="0" applyFont="1" applyBorder="1" applyAlignment="1">
      <alignment horizontal="center"/>
    </xf>
    <xf numFmtId="0" fontId="16" fillId="7" borderId="6" xfId="0" applyFont="1" applyFill="1" applyBorder="1" applyAlignment="1">
      <alignment horizontal="center"/>
    </xf>
    <xf numFmtId="0" fontId="16" fillId="7" borderId="12" xfId="0" applyFont="1" applyFill="1" applyBorder="1" applyAlignment="1">
      <alignment horizontal="center"/>
    </xf>
    <xf numFmtId="0" fontId="16" fillId="7" borderId="7" xfId="0" applyFont="1" applyFill="1" applyBorder="1" applyAlignment="1">
      <alignment horizontal="center"/>
    </xf>
    <xf numFmtId="0" fontId="19" fillId="0" borderId="0" xfId="0" applyFont="1"/>
  </cellXfs>
  <cellStyles count="2">
    <cellStyle name="Comma" xfId="1" builtinId="3"/>
    <cellStyle name="Normal" xfId="0" builtinId="0"/>
  </cellStyles>
  <dxfs count="3">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v</a:t>
            </a:r>
            <a:r>
              <a:rPr lang="en-US" baseline="0"/>
              <a:t>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'Problem 4'!$D$18</c:f>
              <c:strCache>
                <c:ptCount val="1"/>
                <c:pt idx="0">
                  <c:v>Population</c:v>
                </c:pt>
              </c:strCache>
            </c:strRef>
          </c:tx>
          <c:spPr>
            <a:ln w="25400" cap="rnd">
              <a:noFill/>
              <a:round/>
            </a:ln>
            <a:effectLst/>
          </c:spPr>
          <c:marker>
            <c:symbol val="circle"/>
            <c:size val="5"/>
            <c:spPr>
              <a:solidFill>
                <a:schemeClr val="accent1"/>
              </a:solidFill>
              <a:ln w="9525">
                <a:solidFill>
                  <a:schemeClr val="accent1"/>
                </a:solidFill>
              </a:ln>
              <a:effectLst/>
            </c:spPr>
          </c:marker>
          <c:xVal>
            <c:numRef>
              <c:f>'Problem 4'!$C$19:$C$30</c:f>
              <c:numCache>
                <c:formatCode>General</c:formatCode>
                <c:ptCount val="12"/>
                <c:pt idx="0">
                  <c:v>1900</c:v>
                </c:pt>
                <c:pt idx="1">
                  <c:v>1910</c:v>
                </c:pt>
                <c:pt idx="2">
                  <c:v>1920</c:v>
                </c:pt>
                <c:pt idx="3">
                  <c:v>1930</c:v>
                </c:pt>
                <c:pt idx="4">
                  <c:v>1940</c:v>
                </c:pt>
                <c:pt idx="5">
                  <c:v>1950</c:v>
                </c:pt>
                <c:pt idx="6">
                  <c:v>1960</c:v>
                </c:pt>
                <c:pt idx="7">
                  <c:v>1970</c:v>
                </c:pt>
                <c:pt idx="8">
                  <c:v>1980</c:v>
                </c:pt>
                <c:pt idx="9">
                  <c:v>1990</c:v>
                </c:pt>
                <c:pt idx="10">
                  <c:v>2000</c:v>
                </c:pt>
                <c:pt idx="11">
                  <c:v>2010</c:v>
                </c:pt>
              </c:numCache>
            </c:numRef>
          </c:xVal>
          <c:yVal>
            <c:numRef>
              <c:f>'Problem 4'!$D$19:$D$30</c:f>
              <c:numCache>
                <c:formatCode>#,##0</c:formatCode>
                <c:ptCount val="12"/>
                <c:pt idx="0">
                  <c:v>196000</c:v>
                </c:pt>
                <c:pt idx="1">
                  <c:v>329000</c:v>
                </c:pt>
                <c:pt idx="2">
                  <c:v>363000</c:v>
                </c:pt>
                <c:pt idx="3">
                  <c:v>427000</c:v>
                </c:pt>
                <c:pt idx="4">
                  <c:v>531000</c:v>
                </c:pt>
                <c:pt idx="5">
                  <c:v>689000</c:v>
                </c:pt>
                <c:pt idx="6">
                  <c:v>954000</c:v>
                </c:pt>
                <c:pt idx="7">
                  <c:v>1017055</c:v>
                </c:pt>
                <c:pt idx="8">
                  <c:v>1309400</c:v>
                </c:pt>
                <c:pt idx="9">
                  <c:v>1519933</c:v>
                </c:pt>
                <c:pt idx="10">
                  <c:v>1821204</c:v>
                </c:pt>
                <c:pt idx="11">
                  <c:v>2064588</c:v>
                </c:pt>
              </c:numCache>
            </c:numRef>
          </c:yVal>
          <c:smooth val="0"/>
          <c:extLst>
            <c:ext xmlns:c16="http://schemas.microsoft.com/office/drawing/2014/chart" uri="{C3380CC4-5D6E-409C-BE32-E72D297353CC}">
              <c16:uniqueId val="{00000000-539A-46AB-BD28-A6B49C762E8B}"/>
            </c:ext>
          </c:extLst>
        </c:ser>
        <c:dLbls>
          <c:showLegendKey val="0"/>
          <c:showVal val="0"/>
          <c:showCatName val="0"/>
          <c:showSerName val="0"/>
          <c:showPercent val="0"/>
          <c:showBubbleSize val="0"/>
        </c:dLbls>
        <c:axId val="819871056"/>
        <c:axId val="819873616"/>
      </c:scatterChart>
      <c:valAx>
        <c:axId val="8198710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873616"/>
        <c:crosses val="autoZero"/>
        <c:crossBetween val="midCat"/>
      </c:valAx>
      <c:valAx>
        <c:axId val="819873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Population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8710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v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'Problem 4'!$D$18</c:f>
              <c:strCache>
                <c:ptCount val="1"/>
                <c:pt idx="0">
                  <c:v>Population</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0000"/>
                </a:solidFill>
                <a:prstDash val="sysDot"/>
              </a:ln>
              <a:effectLst/>
            </c:spPr>
            <c:trendlineType val="linear"/>
            <c:dispRSqr val="1"/>
            <c:dispEq val="1"/>
            <c:trendlineLbl>
              <c:layout>
                <c:manualLayout>
                  <c:x val="-0.51003381492652899"/>
                  <c:y val="-9.470851354848249E-2"/>
                </c:manualLayout>
              </c:layout>
              <c:numFmt formatCode="General" sourceLinked="0"/>
              <c:spPr>
                <a:noFill/>
                <a:ln>
                  <a:noFill/>
                </a:ln>
                <a:effectLst/>
              </c:spPr>
              <c:txPr>
                <a:bodyPr rot="0" spcFirstLastPara="1" vertOverflow="ellipsis" vert="horz" wrap="square" anchor="ctr" anchorCtr="1"/>
                <a:lstStyle/>
                <a:p>
                  <a:pPr>
                    <a:defRPr sz="1400" b="1" i="0" u="none" strike="noStrike" kern="1200" baseline="0">
                      <a:solidFill>
                        <a:srgbClr val="FF0000"/>
                      </a:solidFill>
                      <a:latin typeface="+mn-lt"/>
                      <a:ea typeface="+mn-ea"/>
                      <a:cs typeface="+mn-cs"/>
                    </a:defRPr>
                  </a:pPr>
                  <a:endParaRPr lang="en-US"/>
                </a:p>
              </c:txPr>
            </c:trendlineLbl>
          </c:trendline>
          <c:trendline>
            <c:spPr>
              <a:ln w="19050" cap="rnd">
                <a:solidFill>
                  <a:srgbClr val="FFC000"/>
                </a:solidFill>
                <a:prstDash val="solid"/>
              </a:ln>
              <a:effectLst/>
            </c:spPr>
            <c:trendlineType val="power"/>
            <c:dispRSqr val="1"/>
            <c:dispEq val="1"/>
            <c:trendlineLbl>
              <c:layout>
                <c:manualLayout>
                  <c:x val="-0.39691178768441437"/>
                  <c:y val="-3.4115805946791861E-3"/>
                </c:manualLayout>
              </c:layout>
              <c:numFmt formatCode="General" sourceLinked="0"/>
              <c:spPr>
                <a:noFill/>
                <a:ln>
                  <a:noFill/>
                </a:ln>
                <a:effectLst/>
              </c:spPr>
              <c:txPr>
                <a:bodyPr rot="0" spcFirstLastPara="1" vertOverflow="ellipsis" vert="horz" wrap="square" anchor="ctr" anchorCtr="1"/>
                <a:lstStyle/>
                <a:p>
                  <a:pPr>
                    <a:defRPr sz="1400" b="1" i="0" u="none" strike="noStrike" kern="1200" baseline="0">
                      <a:solidFill>
                        <a:srgbClr val="FFC000"/>
                      </a:solidFill>
                      <a:latin typeface="+mn-lt"/>
                      <a:ea typeface="+mn-ea"/>
                      <a:cs typeface="+mn-cs"/>
                    </a:defRPr>
                  </a:pPr>
                  <a:endParaRPr lang="en-US"/>
                </a:p>
              </c:txPr>
            </c:trendlineLbl>
          </c:trendline>
          <c:trendline>
            <c:spPr>
              <a:ln w="19050" cap="rnd">
                <a:solidFill>
                  <a:srgbClr val="00B050"/>
                </a:solidFill>
                <a:prstDash val="lgDash"/>
              </a:ln>
              <a:effectLst/>
            </c:spPr>
            <c:trendlineType val="exp"/>
            <c:dispRSqr val="1"/>
            <c:dispEq val="1"/>
            <c:trendlineLbl>
              <c:layout>
                <c:manualLayout>
                  <c:x val="-0.28557292810139501"/>
                  <c:y val="-2.8169014084507044E-4"/>
                </c:manualLayout>
              </c:layout>
              <c:numFmt formatCode="General" sourceLinked="0"/>
              <c:spPr>
                <a:noFill/>
                <a:ln>
                  <a:noFill/>
                </a:ln>
                <a:effectLst/>
              </c:spPr>
              <c:txPr>
                <a:bodyPr rot="0" spcFirstLastPara="1" vertOverflow="ellipsis" vert="horz" wrap="square" anchor="ctr" anchorCtr="1"/>
                <a:lstStyle/>
                <a:p>
                  <a:pPr>
                    <a:defRPr sz="1400" b="1" i="0" u="none" strike="noStrike" kern="1200" baseline="0">
                      <a:solidFill>
                        <a:srgbClr val="00B050"/>
                      </a:solidFill>
                      <a:latin typeface="+mn-lt"/>
                      <a:ea typeface="+mn-ea"/>
                      <a:cs typeface="+mn-cs"/>
                    </a:defRPr>
                  </a:pPr>
                  <a:endParaRPr lang="en-US"/>
                </a:p>
              </c:txPr>
            </c:trendlineLbl>
          </c:trendline>
          <c:xVal>
            <c:numRef>
              <c:f>'Problem 4'!$C$19:$C$30</c:f>
              <c:numCache>
                <c:formatCode>General</c:formatCode>
                <c:ptCount val="12"/>
                <c:pt idx="0">
                  <c:v>1900</c:v>
                </c:pt>
                <c:pt idx="1">
                  <c:v>1910</c:v>
                </c:pt>
                <c:pt idx="2">
                  <c:v>1920</c:v>
                </c:pt>
                <c:pt idx="3">
                  <c:v>1930</c:v>
                </c:pt>
                <c:pt idx="4">
                  <c:v>1940</c:v>
                </c:pt>
                <c:pt idx="5">
                  <c:v>1950</c:v>
                </c:pt>
                <c:pt idx="6">
                  <c:v>1960</c:v>
                </c:pt>
                <c:pt idx="7">
                  <c:v>1970</c:v>
                </c:pt>
                <c:pt idx="8">
                  <c:v>1980</c:v>
                </c:pt>
                <c:pt idx="9">
                  <c:v>1990</c:v>
                </c:pt>
                <c:pt idx="10">
                  <c:v>2000</c:v>
                </c:pt>
                <c:pt idx="11">
                  <c:v>2010</c:v>
                </c:pt>
              </c:numCache>
            </c:numRef>
          </c:xVal>
          <c:yVal>
            <c:numRef>
              <c:f>'Problem 4'!$D$19:$D$30</c:f>
              <c:numCache>
                <c:formatCode>#,##0</c:formatCode>
                <c:ptCount val="12"/>
                <c:pt idx="0">
                  <c:v>196000</c:v>
                </c:pt>
                <c:pt idx="1">
                  <c:v>329000</c:v>
                </c:pt>
                <c:pt idx="2">
                  <c:v>363000</c:v>
                </c:pt>
                <c:pt idx="3">
                  <c:v>427000</c:v>
                </c:pt>
                <c:pt idx="4">
                  <c:v>531000</c:v>
                </c:pt>
                <c:pt idx="5">
                  <c:v>689000</c:v>
                </c:pt>
                <c:pt idx="6">
                  <c:v>954000</c:v>
                </c:pt>
                <c:pt idx="7">
                  <c:v>1017055</c:v>
                </c:pt>
                <c:pt idx="8">
                  <c:v>1309400</c:v>
                </c:pt>
                <c:pt idx="9">
                  <c:v>1519933</c:v>
                </c:pt>
                <c:pt idx="10">
                  <c:v>1821204</c:v>
                </c:pt>
                <c:pt idx="11">
                  <c:v>2064588</c:v>
                </c:pt>
              </c:numCache>
            </c:numRef>
          </c:yVal>
          <c:smooth val="0"/>
          <c:extLst>
            <c:ext xmlns:c16="http://schemas.microsoft.com/office/drawing/2014/chart" uri="{C3380CC4-5D6E-409C-BE32-E72D297353CC}">
              <c16:uniqueId val="{00000000-D5C7-4C9D-A6FC-BFCB9CF1E8C5}"/>
            </c:ext>
          </c:extLst>
        </c:ser>
        <c:dLbls>
          <c:showLegendKey val="0"/>
          <c:showVal val="0"/>
          <c:showCatName val="0"/>
          <c:showSerName val="0"/>
          <c:showPercent val="0"/>
          <c:showBubbleSize val="0"/>
        </c:dLbls>
        <c:axId val="599779632"/>
        <c:axId val="599780592"/>
      </c:scatterChart>
      <c:valAx>
        <c:axId val="599779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780592"/>
        <c:crosses val="autoZero"/>
        <c:crossBetween val="midCat"/>
      </c:valAx>
      <c:valAx>
        <c:axId val="599780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Population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77963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ODE: Euler's vs</a:t>
            </a:r>
            <a:r>
              <a:rPr lang="en-US" baseline="0"/>
              <a:t> Exact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Euler's</c:v>
          </c:tx>
          <c:spPr>
            <a:ln w="19050" cap="rnd">
              <a:solidFill>
                <a:schemeClr val="accent1"/>
              </a:solidFill>
              <a:round/>
            </a:ln>
            <a:effectLst/>
          </c:spPr>
          <c:marker>
            <c:symbol val="none"/>
          </c:marker>
          <c:xVal>
            <c:numRef>
              <c:f>'Problem 5abc'!$C$59:$C$69</c:f>
              <c:numCache>
                <c:formatCode>General</c:formatCode>
                <c:ptCount val="11"/>
                <c:pt idx="0">
                  <c:v>0</c:v>
                </c:pt>
                <c:pt idx="1">
                  <c:v>0.1</c:v>
                </c:pt>
                <c:pt idx="2">
                  <c:v>0.2</c:v>
                </c:pt>
                <c:pt idx="3">
                  <c:v>0.30000000000000004</c:v>
                </c:pt>
                <c:pt idx="4">
                  <c:v>0.4</c:v>
                </c:pt>
                <c:pt idx="5">
                  <c:v>0.5</c:v>
                </c:pt>
                <c:pt idx="6">
                  <c:v>0.60000000000000009</c:v>
                </c:pt>
                <c:pt idx="7">
                  <c:v>0.70000000000000007</c:v>
                </c:pt>
                <c:pt idx="8">
                  <c:v>0.8</c:v>
                </c:pt>
                <c:pt idx="9">
                  <c:v>0.9</c:v>
                </c:pt>
                <c:pt idx="10" formatCode="0.0">
                  <c:v>1</c:v>
                </c:pt>
              </c:numCache>
            </c:numRef>
          </c:xVal>
          <c:yVal>
            <c:numRef>
              <c:f>'Problem 5abc'!$D$59:$D$69</c:f>
              <c:numCache>
                <c:formatCode>0.00000</c:formatCode>
                <c:ptCount val="11"/>
                <c:pt idx="0">
                  <c:v>2</c:v>
                </c:pt>
                <c:pt idx="1">
                  <c:v>1.6</c:v>
                </c:pt>
                <c:pt idx="2">
                  <c:v>1.32</c:v>
                </c:pt>
                <c:pt idx="3">
                  <c:v>1.1360000000000001</c:v>
                </c:pt>
                <c:pt idx="4">
                  <c:v>1.0288000000000002</c:v>
                </c:pt>
                <c:pt idx="5">
                  <c:v>0.98304000000000014</c:v>
                </c:pt>
                <c:pt idx="6">
                  <c:v>0.98643200000000009</c:v>
                </c:pt>
                <c:pt idx="7">
                  <c:v>1.0291456000000001</c:v>
                </c:pt>
                <c:pt idx="8">
                  <c:v>1.1033164800000002</c:v>
                </c:pt>
                <c:pt idx="9">
                  <c:v>1.2026531840000001</c:v>
                </c:pt>
                <c:pt idx="10">
                  <c:v>1.3221225472</c:v>
                </c:pt>
              </c:numCache>
            </c:numRef>
          </c:yVal>
          <c:smooth val="1"/>
          <c:extLst>
            <c:ext xmlns:c16="http://schemas.microsoft.com/office/drawing/2014/chart" uri="{C3380CC4-5D6E-409C-BE32-E72D297353CC}">
              <c16:uniqueId val="{00000000-EA2F-46C5-B2FF-915EC26FB733}"/>
            </c:ext>
          </c:extLst>
        </c:ser>
        <c:ser>
          <c:idx val="1"/>
          <c:order val="1"/>
          <c:tx>
            <c:v>Exact</c:v>
          </c:tx>
          <c:spPr>
            <a:ln w="19050" cap="rnd">
              <a:solidFill>
                <a:schemeClr val="accent2"/>
              </a:solidFill>
              <a:round/>
            </a:ln>
            <a:effectLst/>
          </c:spPr>
          <c:marker>
            <c:symbol val="none"/>
          </c:marker>
          <c:xVal>
            <c:numRef>
              <c:f>'Problem 5abc'!$C$59:$C$69</c:f>
              <c:numCache>
                <c:formatCode>General</c:formatCode>
                <c:ptCount val="11"/>
                <c:pt idx="0">
                  <c:v>0</c:v>
                </c:pt>
                <c:pt idx="1">
                  <c:v>0.1</c:v>
                </c:pt>
                <c:pt idx="2">
                  <c:v>0.2</c:v>
                </c:pt>
                <c:pt idx="3">
                  <c:v>0.30000000000000004</c:v>
                </c:pt>
                <c:pt idx="4">
                  <c:v>0.4</c:v>
                </c:pt>
                <c:pt idx="5">
                  <c:v>0.5</c:v>
                </c:pt>
                <c:pt idx="6">
                  <c:v>0.60000000000000009</c:v>
                </c:pt>
                <c:pt idx="7">
                  <c:v>0.70000000000000007</c:v>
                </c:pt>
                <c:pt idx="8">
                  <c:v>0.8</c:v>
                </c:pt>
                <c:pt idx="9">
                  <c:v>0.9</c:v>
                </c:pt>
                <c:pt idx="10" formatCode="0.0">
                  <c:v>1</c:v>
                </c:pt>
              </c:numCache>
            </c:numRef>
          </c:xVal>
          <c:yVal>
            <c:numRef>
              <c:f>'Problem 5abc'!$E$59:$E$69</c:f>
              <c:numCache>
                <c:formatCode>0.0000000</c:formatCode>
                <c:ptCount val="11"/>
                <c:pt idx="0" formatCode="General">
                  <c:v>2</c:v>
                </c:pt>
                <c:pt idx="1">
                  <c:v>1.6561922592339458</c:v>
                </c:pt>
                <c:pt idx="2">
                  <c:v>1.4109601381069177</c:v>
                </c:pt>
                <c:pt idx="3">
                  <c:v>1.2464349082820791</c:v>
                </c:pt>
                <c:pt idx="4">
                  <c:v>1.147986892351665</c:v>
                </c:pt>
                <c:pt idx="5">
                  <c:v>1.103638323514327</c:v>
                </c:pt>
                <c:pt idx="6">
                  <c:v>1.1035826357366063</c:v>
                </c:pt>
                <c:pt idx="7">
                  <c:v>1.1397908918248194</c:v>
                </c:pt>
                <c:pt idx="8">
                  <c:v>1.2056895539839663</c:v>
                </c:pt>
                <c:pt idx="9">
                  <c:v>1.2958966646647596</c:v>
                </c:pt>
                <c:pt idx="10">
                  <c:v>1.406005849709838</c:v>
                </c:pt>
              </c:numCache>
            </c:numRef>
          </c:yVal>
          <c:smooth val="1"/>
          <c:extLst>
            <c:ext xmlns:c16="http://schemas.microsoft.com/office/drawing/2014/chart" uri="{C3380CC4-5D6E-409C-BE32-E72D297353CC}">
              <c16:uniqueId val="{00000002-EA2F-46C5-B2FF-915EC26FB733}"/>
            </c:ext>
          </c:extLst>
        </c:ser>
        <c:dLbls>
          <c:showLegendKey val="0"/>
          <c:showVal val="0"/>
          <c:showCatName val="0"/>
          <c:showSerName val="0"/>
          <c:showPercent val="0"/>
          <c:showBubbleSize val="0"/>
        </c:dLbls>
        <c:axId val="880462840"/>
        <c:axId val="880465720"/>
      </c:scatterChart>
      <c:valAx>
        <c:axId val="8804628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t_n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465720"/>
        <c:crosses val="autoZero"/>
        <c:crossBetween val="midCat"/>
      </c:valAx>
      <c:valAx>
        <c:axId val="880465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y_n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46284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ODE: Huen's</a:t>
            </a:r>
            <a:r>
              <a:rPr lang="en-US" baseline="0"/>
              <a:t> vs Exact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Huen's</c:v>
          </c:tx>
          <c:spPr>
            <a:ln w="19050" cap="rnd">
              <a:solidFill>
                <a:schemeClr val="accent1"/>
              </a:solidFill>
              <a:round/>
            </a:ln>
            <a:effectLst/>
          </c:spPr>
          <c:marker>
            <c:symbol val="none"/>
          </c:marker>
          <c:xVal>
            <c:numRef>
              <c:f>'Problem 5abc'!$C$76:$C$86</c:f>
              <c:numCache>
                <c:formatCode>General</c:formatCode>
                <c:ptCount val="11"/>
                <c:pt idx="0">
                  <c:v>0</c:v>
                </c:pt>
                <c:pt idx="1">
                  <c:v>0.1</c:v>
                </c:pt>
                <c:pt idx="2">
                  <c:v>0.2</c:v>
                </c:pt>
                <c:pt idx="3">
                  <c:v>0.30000000000000004</c:v>
                </c:pt>
                <c:pt idx="4">
                  <c:v>0.4</c:v>
                </c:pt>
                <c:pt idx="5">
                  <c:v>0.5</c:v>
                </c:pt>
                <c:pt idx="6">
                  <c:v>0.60000000000000009</c:v>
                </c:pt>
                <c:pt idx="7">
                  <c:v>0.70000000000000007</c:v>
                </c:pt>
                <c:pt idx="8">
                  <c:v>0.8</c:v>
                </c:pt>
                <c:pt idx="9">
                  <c:v>0.9</c:v>
                </c:pt>
                <c:pt idx="10" formatCode="0.0">
                  <c:v>1</c:v>
                </c:pt>
              </c:numCache>
            </c:numRef>
          </c:xVal>
          <c:yVal>
            <c:numRef>
              <c:f>'Problem 5abc'!$E$76:$E$86</c:f>
              <c:numCache>
                <c:formatCode>General</c:formatCode>
                <c:ptCount val="11"/>
                <c:pt idx="0">
                  <c:v>2</c:v>
                </c:pt>
                <c:pt idx="1">
                  <c:v>1.66</c:v>
                </c:pt>
                <c:pt idx="2">
                  <c:v>1.4171999999999998</c:v>
                </c:pt>
                <c:pt idx="3">
                  <c:v>1.2541039999999999</c:v>
                </c:pt>
                <c:pt idx="4">
                  <c:v>1.1563652799999999</c:v>
                </c:pt>
                <c:pt idx="5">
                  <c:v>1.1122195295999999</c:v>
                </c:pt>
                <c:pt idx="6">
                  <c:v>1.112020014272</c:v>
                </c:pt>
                <c:pt idx="7">
                  <c:v>1.1478564117030401</c:v>
                </c:pt>
                <c:pt idx="8">
                  <c:v>1.213242257596493</c:v>
                </c:pt>
                <c:pt idx="9">
                  <c:v>1.3028586512291243</c:v>
                </c:pt>
                <c:pt idx="10">
                  <c:v>1.412344094007882</c:v>
                </c:pt>
              </c:numCache>
            </c:numRef>
          </c:yVal>
          <c:smooth val="1"/>
          <c:extLst>
            <c:ext xmlns:c16="http://schemas.microsoft.com/office/drawing/2014/chart" uri="{C3380CC4-5D6E-409C-BE32-E72D297353CC}">
              <c16:uniqueId val="{00000000-01DB-4180-8369-00ADD99D198B}"/>
            </c:ext>
          </c:extLst>
        </c:ser>
        <c:ser>
          <c:idx val="1"/>
          <c:order val="1"/>
          <c:tx>
            <c:v>Exact</c:v>
          </c:tx>
          <c:spPr>
            <a:ln w="19050" cap="rnd">
              <a:solidFill>
                <a:schemeClr val="accent2"/>
              </a:solidFill>
              <a:round/>
            </a:ln>
            <a:effectLst/>
          </c:spPr>
          <c:marker>
            <c:symbol val="none"/>
          </c:marker>
          <c:xVal>
            <c:numRef>
              <c:f>'Problem 5abc'!$C$76:$C$86</c:f>
              <c:numCache>
                <c:formatCode>General</c:formatCode>
                <c:ptCount val="11"/>
                <c:pt idx="0">
                  <c:v>0</c:v>
                </c:pt>
                <c:pt idx="1">
                  <c:v>0.1</c:v>
                </c:pt>
                <c:pt idx="2">
                  <c:v>0.2</c:v>
                </c:pt>
                <c:pt idx="3">
                  <c:v>0.30000000000000004</c:v>
                </c:pt>
                <c:pt idx="4">
                  <c:v>0.4</c:v>
                </c:pt>
                <c:pt idx="5">
                  <c:v>0.5</c:v>
                </c:pt>
                <c:pt idx="6">
                  <c:v>0.60000000000000009</c:v>
                </c:pt>
                <c:pt idx="7">
                  <c:v>0.70000000000000007</c:v>
                </c:pt>
                <c:pt idx="8">
                  <c:v>0.8</c:v>
                </c:pt>
                <c:pt idx="9">
                  <c:v>0.9</c:v>
                </c:pt>
                <c:pt idx="10" formatCode="0.0">
                  <c:v>1</c:v>
                </c:pt>
              </c:numCache>
            </c:numRef>
          </c:xVal>
          <c:yVal>
            <c:numRef>
              <c:f>'Problem 5abc'!$F$76:$F$86</c:f>
              <c:numCache>
                <c:formatCode>0.0000000</c:formatCode>
                <c:ptCount val="11"/>
                <c:pt idx="0" formatCode="General">
                  <c:v>2</c:v>
                </c:pt>
                <c:pt idx="1">
                  <c:v>1.6561922592339458</c:v>
                </c:pt>
                <c:pt idx="2">
                  <c:v>1.4109601381069177</c:v>
                </c:pt>
                <c:pt idx="3">
                  <c:v>1.2464349082820791</c:v>
                </c:pt>
                <c:pt idx="4">
                  <c:v>1.147986892351665</c:v>
                </c:pt>
                <c:pt idx="5">
                  <c:v>1.103638323514327</c:v>
                </c:pt>
                <c:pt idx="6">
                  <c:v>1.1035826357366063</c:v>
                </c:pt>
                <c:pt idx="7">
                  <c:v>1.1397908918248194</c:v>
                </c:pt>
                <c:pt idx="8">
                  <c:v>1.2056895539839663</c:v>
                </c:pt>
                <c:pt idx="9">
                  <c:v>1.2958966646647596</c:v>
                </c:pt>
                <c:pt idx="10">
                  <c:v>1.406005849709838</c:v>
                </c:pt>
              </c:numCache>
            </c:numRef>
          </c:yVal>
          <c:smooth val="1"/>
          <c:extLst>
            <c:ext xmlns:c16="http://schemas.microsoft.com/office/drawing/2014/chart" uri="{C3380CC4-5D6E-409C-BE32-E72D297353CC}">
              <c16:uniqueId val="{00000002-01DB-4180-8369-00ADD99D198B}"/>
            </c:ext>
          </c:extLst>
        </c:ser>
        <c:dLbls>
          <c:showLegendKey val="0"/>
          <c:showVal val="0"/>
          <c:showCatName val="0"/>
          <c:showSerName val="0"/>
          <c:showPercent val="0"/>
          <c:showBubbleSize val="0"/>
        </c:dLbls>
        <c:axId val="309533624"/>
        <c:axId val="764695416"/>
      </c:scatterChart>
      <c:valAx>
        <c:axId val="3095336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t_n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695416"/>
        <c:crosses val="autoZero"/>
        <c:crossBetween val="midCat"/>
      </c:valAx>
      <c:valAx>
        <c:axId val="764695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y_n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5336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ODE: Runge-Kutta</a:t>
            </a:r>
            <a:r>
              <a:rPr lang="en-US" baseline="0"/>
              <a:t> vs Exact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Runge-Kutta</c:v>
          </c:tx>
          <c:spPr>
            <a:ln w="19050" cap="rnd">
              <a:solidFill>
                <a:schemeClr val="accent1"/>
              </a:solidFill>
              <a:round/>
            </a:ln>
            <a:effectLst/>
          </c:spPr>
          <c:marker>
            <c:symbol val="none"/>
          </c:marker>
          <c:xVal>
            <c:numRef>
              <c:f>'Problem 5abc'!$C$99:$C$109</c:f>
              <c:numCache>
                <c:formatCode>General</c:formatCode>
                <c:ptCount val="11"/>
                <c:pt idx="0">
                  <c:v>0</c:v>
                </c:pt>
                <c:pt idx="1">
                  <c:v>0.1</c:v>
                </c:pt>
                <c:pt idx="2">
                  <c:v>0.2</c:v>
                </c:pt>
                <c:pt idx="3">
                  <c:v>0.30000000000000004</c:v>
                </c:pt>
                <c:pt idx="4">
                  <c:v>0.4</c:v>
                </c:pt>
                <c:pt idx="5">
                  <c:v>0.5</c:v>
                </c:pt>
                <c:pt idx="6">
                  <c:v>0.6</c:v>
                </c:pt>
                <c:pt idx="7">
                  <c:v>0.7</c:v>
                </c:pt>
                <c:pt idx="8">
                  <c:v>0.79999999999999993</c:v>
                </c:pt>
                <c:pt idx="9">
                  <c:v>0.89999999999999991</c:v>
                </c:pt>
                <c:pt idx="10" formatCode="0.0">
                  <c:v>0.99999999999999989</c:v>
                </c:pt>
              </c:numCache>
            </c:numRef>
          </c:xVal>
          <c:yVal>
            <c:numRef>
              <c:f>'Problem 5abc'!$H$99:$H$109</c:f>
              <c:numCache>
                <c:formatCode>General</c:formatCode>
                <c:ptCount val="11"/>
                <c:pt idx="0">
                  <c:v>2</c:v>
                </c:pt>
                <c:pt idx="1">
                  <c:v>1.6562000000000001</c:v>
                </c:pt>
                <c:pt idx="2">
                  <c:v>1.4109728133333335</c:v>
                </c:pt>
                <c:pt idx="3">
                  <c:v>1.2464504747031113</c:v>
                </c:pt>
                <c:pt idx="4">
                  <c:v>1.1480038853219274</c:v>
                </c:pt>
                <c:pt idx="5">
                  <c:v>1.103655714375906</c:v>
                </c:pt>
                <c:pt idx="6">
                  <c:v>1.1035997218833669</c:v>
                </c:pt>
                <c:pt idx="7">
                  <c:v>1.1398072122966418</c:v>
                </c:pt>
                <c:pt idx="8">
                  <c:v>1.2057048249476705</c:v>
                </c:pt>
                <c:pt idx="9">
                  <c:v>1.2959107303454893</c:v>
                </c:pt>
                <c:pt idx="10">
                  <c:v>1.4060186452915302</c:v>
                </c:pt>
              </c:numCache>
            </c:numRef>
          </c:yVal>
          <c:smooth val="1"/>
          <c:extLst>
            <c:ext xmlns:c16="http://schemas.microsoft.com/office/drawing/2014/chart" uri="{C3380CC4-5D6E-409C-BE32-E72D297353CC}">
              <c16:uniqueId val="{00000000-CF25-408D-AEF8-6B8E65B8B546}"/>
            </c:ext>
          </c:extLst>
        </c:ser>
        <c:ser>
          <c:idx val="1"/>
          <c:order val="1"/>
          <c:tx>
            <c:v>Exact</c:v>
          </c:tx>
          <c:spPr>
            <a:ln w="19050" cap="rnd">
              <a:solidFill>
                <a:schemeClr val="accent2"/>
              </a:solidFill>
              <a:round/>
            </a:ln>
            <a:effectLst/>
          </c:spPr>
          <c:marker>
            <c:symbol val="none"/>
          </c:marker>
          <c:xVal>
            <c:numRef>
              <c:f>'Problem 5abc'!$C$99:$C$109</c:f>
              <c:numCache>
                <c:formatCode>General</c:formatCode>
                <c:ptCount val="11"/>
                <c:pt idx="0">
                  <c:v>0</c:v>
                </c:pt>
                <c:pt idx="1">
                  <c:v>0.1</c:v>
                </c:pt>
                <c:pt idx="2">
                  <c:v>0.2</c:v>
                </c:pt>
                <c:pt idx="3">
                  <c:v>0.30000000000000004</c:v>
                </c:pt>
                <c:pt idx="4">
                  <c:v>0.4</c:v>
                </c:pt>
                <c:pt idx="5">
                  <c:v>0.5</c:v>
                </c:pt>
                <c:pt idx="6">
                  <c:v>0.6</c:v>
                </c:pt>
                <c:pt idx="7">
                  <c:v>0.7</c:v>
                </c:pt>
                <c:pt idx="8">
                  <c:v>0.79999999999999993</c:v>
                </c:pt>
                <c:pt idx="9">
                  <c:v>0.89999999999999991</c:v>
                </c:pt>
                <c:pt idx="10" formatCode="0.0">
                  <c:v>0.99999999999999989</c:v>
                </c:pt>
              </c:numCache>
            </c:numRef>
          </c:xVal>
          <c:yVal>
            <c:numRef>
              <c:f>'Problem 5abc'!$I$99:$I$109</c:f>
              <c:numCache>
                <c:formatCode>General</c:formatCode>
                <c:ptCount val="11"/>
                <c:pt idx="0">
                  <c:v>2</c:v>
                </c:pt>
                <c:pt idx="1">
                  <c:v>1.6561922592339458</c:v>
                </c:pt>
                <c:pt idx="2">
                  <c:v>1.4109601381069177</c:v>
                </c:pt>
                <c:pt idx="3">
                  <c:v>1.2464349082820791</c:v>
                </c:pt>
                <c:pt idx="4">
                  <c:v>1.147986892351665</c:v>
                </c:pt>
                <c:pt idx="5">
                  <c:v>1.103638323514327</c:v>
                </c:pt>
                <c:pt idx="6">
                  <c:v>1.1035826357366063</c:v>
                </c:pt>
                <c:pt idx="7">
                  <c:v>1.1397908918248194</c:v>
                </c:pt>
                <c:pt idx="8">
                  <c:v>1.2056895539839663</c:v>
                </c:pt>
                <c:pt idx="9">
                  <c:v>1.2958966646647596</c:v>
                </c:pt>
                <c:pt idx="10">
                  <c:v>1.406005849709838</c:v>
                </c:pt>
              </c:numCache>
            </c:numRef>
          </c:yVal>
          <c:smooth val="1"/>
          <c:extLst>
            <c:ext xmlns:c16="http://schemas.microsoft.com/office/drawing/2014/chart" uri="{C3380CC4-5D6E-409C-BE32-E72D297353CC}">
              <c16:uniqueId val="{00000001-CF25-408D-AEF8-6B8E65B8B546}"/>
            </c:ext>
          </c:extLst>
        </c:ser>
        <c:dLbls>
          <c:showLegendKey val="0"/>
          <c:showVal val="0"/>
          <c:showCatName val="0"/>
          <c:showSerName val="0"/>
          <c:showPercent val="0"/>
          <c:showBubbleSize val="0"/>
        </c:dLbls>
        <c:axId val="764714296"/>
        <c:axId val="764721336"/>
      </c:scatterChart>
      <c:valAx>
        <c:axId val="7647142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t_n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1336"/>
        <c:crosses val="autoZero"/>
        <c:crossBetween val="midCat"/>
      </c:valAx>
      <c:valAx>
        <c:axId val="764721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y_n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1429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ODE: Euler / Huen</a:t>
            </a:r>
            <a:r>
              <a:rPr lang="en-US" baseline="0"/>
              <a:t> / Runge-Kutta Side-by-Side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tx>
            <c:v>Euler's</c:v>
          </c:tx>
          <c:spPr>
            <a:ln w="19050" cap="rnd">
              <a:solidFill>
                <a:schemeClr val="accent2"/>
              </a:solidFill>
              <a:round/>
            </a:ln>
            <a:effectLst/>
          </c:spPr>
          <c:marker>
            <c:symbol val="none"/>
          </c:marker>
          <c:xVal>
            <c:numRef>
              <c:f>'Problem 5abc'!$C$59:$C$69</c:f>
              <c:numCache>
                <c:formatCode>General</c:formatCode>
                <c:ptCount val="11"/>
                <c:pt idx="0">
                  <c:v>0</c:v>
                </c:pt>
                <c:pt idx="1">
                  <c:v>0.1</c:v>
                </c:pt>
                <c:pt idx="2">
                  <c:v>0.2</c:v>
                </c:pt>
                <c:pt idx="3">
                  <c:v>0.30000000000000004</c:v>
                </c:pt>
                <c:pt idx="4">
                  <c:v>0.4</c:v>
                </c:pt>
                <c:pt idx="5">
                  <c:v>0.5</c:v>
                </c:pt>
                <c:pt idx="6">
                  <c:v>0.60000000000000009</c:v>
                </c:pt>
                <c:pt idx="7">
                  <c:v>0.70000000000000007</c:v>
                </c:pt>
                <c:pt idx="8">
                  <c:v>0.8</c:v>
                </c:pt>
                <c:pt idx="9">
                  <c:v>0.9</c:v>
                </c:pt>
                <c:pt idx="10" formatCode="0.0">
                  <c:v>1</c:v>
                </c:pt>
              </c:numCache>
            </c:numRef>
          </c:xVal>
          <c:yVal>
            <c:numRef>
              <c:f>'Problem 5abc'!$D$59:$D$69</c:f>
              <c:numCache>
                <c:formatCode>0.00000</c:formatCode>
                <c:ptCount val="11"/>
                <c:pt idx="0">
                  <c:v>2</c:v>
                </c:pt>
                <c:pt idx="1">
                  <c:v>1.6</c:v>
                </c:pt>
                <c:pt idx="2">
                  <c:v>1.32</c:v>
                </c:pt>
                <c:pt idx="3">
                  <c:v>1.1360000000000001</c:v>
                </c:pt>
                <c:pt idx="4">
                  <c:v>1.0288000000000002</c:v>
                </c:pt>
                <c:pt idx="5">
                  <c:v>0.98304000000000014</c:v>
                </c:pt>
                <c:pt idx="6">
                  <c:v>0.98643200000000009</c:v>
                </c:pt>
                <c:pt idx="7">
                  <c:v>1.0291456000000001</c:v>
                </c:pt>
                <c:pt idx="8">
                  <c:v>1.1033164800000002</c:v>
                </c:pt>
                <c:pt idx="9">
                  <c:v>1.2026531840000001</c:v>
                </c:pt>
                <c:pt idx="10">
                  <c:v>1.3221225472</c:v>
                </c:pt>
              </c:numCache>
            </c:numRef>
          </c:yVal>
          <c:smooth val="1"/>
          <c:extLst>
            <c:ext xmlns:c16="http://schemas.microsoft.com/office/drawing/2014/chart" uri="{C3380CC4-5D6E-409C-BE32-E72D297353CC}">
              <c16:uniqueId val="{00000002-4489-42F6-A923-F41AD354D706}"/>
            </c:ext>
          </c:extLst>
        </c:ser>
        <c:ser>
          <c:idx val="2"/>
          <c:order val="2"/>
          <c:tx>
            <c:v>Huen's</c:v>
          </c:tx>
          <c:spPr>
            <a:ln w="19050" cap="rnd">
              <a:solidFill>
                <a:schemeClr val="accent3"/>
              </a:solidFill>
              <a:round/>
            </a:ln>
            <a:effectLst/>
          </c:spPr>
          <c:marker>
            <c:symbol val="none"/>
          </c:marker>
          <c:xVal>
            <c:numRef>
              <c:f>'Problem 5abc'!$C$76:$C$86</c:f>
              <c:numCache>
                <c:formatCode>General</c:formatCode>
                <c:ptCount val="11"/>
                <c:pt idx="0">
                  <c:v>0</c:v>
                </c:pt>
                <c:pt idx="1">
                  <c:v>0.1</c:v>
                </c:pt>
                <c:pt idx="2">
                  <c:v>0.2</c:v>
                </c:pt>
                <c:pt idx="3">
                  <c:v>0.30000000000000004</c:v>
                </c:pt>
                <c:pt idx="4">
                  <c:v>0.4</c:v>
                </c:pt>
                <c:pt idx="5">
                  <c:v>0.5</c:v>
                </c:pt>
                <c:pt idx="6">
                  <c:v>0.60000000000000009</c:v>
                </c:pt>
                <c:pt idx="7">
                  <c:v>0.70000000000000007</c:v>
                </c:pt>
                <c:pt idx="8">
                  <c:v>0.8</c:v>
                </c:pt>
                <c:pt idx="9">
                  <c:v>0.9</c:v>
                </c:pt>
                <c:pt idx="10" formatCode="0.0">
                  <c:v>1</c:v>
                </c:pt>
              </c:numCache>
            </c:numRef>
          </c:xVal>
          <c:yVal>
            <c:numRef>
              <c:f>'Problem 5abc'!$E$76:$E$86</c:f>
              <c:numCache>
                <c:formatCode>General</c:formatCode>
                <c:ptCount val="11"/>
                <c:pt idx="0">
                  <c:v>2</c:v>
                </c:pt>
                <c:pt idx="1">
                  <c:v>1.66</c:v>
                </c:pt>
                <c:pt idx="2">
                  <c:v>1.4171999999999998</c:v>
                </c:pt>
                <c:pt idx="3">
                  <c:v>1.2541039999999999</c:v>
                </c:pt>
                <c:pt idx="4">
                  <c:v>1.1563652799999999</c:v>
                </c:pt>
                <c:pt idx="5">
                  <c:v>1.1122195295999999</c:v>
                </c:pt>
                <c:pt idx="6">
                  <c:v>1.112020014272</c:v>
                </c:pt>
                <c:pt idx="7">
                  <c:v>1.1478564117030401</c:v>
                </c:pt>
                <c:pt idx="8">
                  <c:v>1.213242257596493</c:v>
                </c:pt>
                <c:pt idx="9">
                  <c:v>1.3028586512291243</c:v>
                </c:pt>
                <c:pt idx="10">
                  <c:v>1.412344094007882</c:v>
                </c:pt>
              </c:numCache>
            </c:numRef>
          </c:yVal>
          <c:smooth val="1"/>
          <c:extLst>
            <c:ext xmlns:c16="http://schemas.microsoft.com/office/drawing/2014/chart" uri="{C3380CC4-5D6E-409C-BE32-E72D297353CC}">
              <c16:uniqueId val="{00000003-4489-42F6-A923-F41AD354D706}"/>
            </c:ext>
          </c:extLst>
        </c:ser>
        <c:ser>
          <c:idx val="3"/>
          <c:order val="3"/>
          <c:tx>
            <c:v>Runge-Kutta</c:v>
          </c:tx>
          <c:spPr>
            <a:ln w="19050" cap="rnd">
              <a:solidFill>
                <a:schemeClr val="accent4"/>
              </a:solidFill>
              <a:round/>
            </a:ln>
            <a:effectLst/>
          </c:spPr>
          <c:marker>
            <c:symbol val="none"/>
          </c:marker>
          <c:xVal>
            <c:numRef>
              <c:f>'Problem 5abc'!$C$99:$C$109</c:f>
              <c:numCache>
                <c:formatCode>General</c:formatCode>
                <c:ptCount val="11"/>
                <c:pt idx="0">
                  <c:v>0</c:v>
                </c:pt>
                <c:pt idx="1">
                  <c:v>0.1</c:v>
                </c:pt>
                <c:pt idx="2">
                  <c:v>0.2</c:v>
                </c:pt>
                <c:pt idx="3">
                  <c:v>0.30000000000000004</c:v>
                </c:pt>
                <c:pt idx="4">
                  <c:v>0.4</c:v>
                </c:pt>
                <c:pt idx="5">
                  <c:v>0.5</c:v>
                </c:pt>
                <c:pt idx="6">
                  <c:v>0.6</c:v>
                </c:pt>
                <c:pt idx="7">
                  <c:v>0.7</c:v>
                </c:pt>
                <c:pt idx="8">
                  <c:v>0.79999999999999993</c:v>
                </c:pt>
                <c:pt idx="9">
                  <c:v>0.89999999999999991</c:v>
                </c:pt>
                <c:pt idx="10" formatCode="0.0">
                  <c:v>0.99999999999999989</c:v>
                </c:pt>
              </c:numCache>
            </c:numRef>
          </c:xVal>
          <c:yVal>
            <c:numRef>
              <c:f>'Problem 5abc'!$H$99:$H$109</c:f>
              <c:numCache>
                <c:formatCode>General</c:formatCode>
                <c:ptCount val="11"/>
                <c:pt idx="0">
                  <c:v>2</c:v>
                </c:pt>
                <c:pt idx="1">
                  <c:v>1.6562000000000001</c:v>
                </c:pt>
                <c:pt idx="2">
                  <c:v>1.4109728133333335</c:v>
                </c:pt>
                <c:pt idx="3">
                  <c:v>1.2464504747031113</c:v>
                </c:pt>
                <c:pt idx="4">
                  <c:v>1.1480038853219274</c:v>
                </c:pt>
                <c:pt idx="5">
                  <c:v>1.103655714375906</c:v>
                </c:pt>
                <c:pt idx="6">
                  <c:v>1.1035997218833669</c:v>
                </c:pt>
                <c:pt idx="7">
                  <c:v>1.1398072122966418</c:v>
                </c:pt>
                <c:pt idx="8">
                  <c:v>1.2057048249476705</c:v>
                </c:pt>
                <c:pt idx="9">
                  <c:v>1.2959107303454893</c:v>
                </c:pt>
                <c:pt idx="10">
                  <c:v>1.4060186452915302</c:v>
                </c:pt>
              </c:numCache>
            </c:numRef>
          </c:yVal>
          <c:smooth val="1"/>
          <c:extLst>
            <c:ext xmlns:c16="http://schemas.microsoft.com/office/drawing/2014/chart" uri="{C3380CC4-5D6E-409C-BE32-E72D297353CC}">
              <c16:uniqueId val="{00000004-4489-42F6-A923-F41AD354D706}"/>
            </c:ext>
          </c:extLst>
        </c:ser>
        <c:ser>
          <c:idx val="4"/>
          <c:order val="4"/>
          <c:tx>
            <c:v>Exact</c:v>
          </c:tx>
          <c:spPr>
            <a:ln w="19050" cap="rnd">
              <a:solidFill>
                <a:schemeClr val="accent5"/>
              </a:solidFill>
              <a:round/>
            </a:ln>
            <a:effectLst/>
          </c:spPr>
          <c:marker>
            <c:symbol val="none"/>
          </c:marker>
          <c:xVal>
            <c:numRef>
              <c:f>'Problem 5abc'!$C$99:$C$109</c:f>
              <c:numCache>
                <c:formatCode>General</c:formatCode>
                <c:ptCount val="11"/>
                <c:pt idx="0">
                  <c:v>0</c:v>
                </c:pt>
                <c:pt idx="1">
                  <c:v>0.1</c:v>
                </c:pt>
                <c:pt idx="2">
                  <c:v>0.2</c:v>
                </c:pt>
                <c:pt idx="3">
                  <c:v>0.30000000000000004</c:v>
                </c:pt>
                <c:pt idx="4">
                  <c:v>0.4</c:v>
                </c:pt>
                <c:pt idx="5">
                  <c:v>0.5</c:v>
                </c:pt>
                <c:pt idx="6">
                  <c:v>0.6</c:v>
                </c:pt>
                <c:pt idx="7">
                  <c:v>0.7</c:v>
                </c:pt>
                <c:pt idx="8">
                  <c:v>0.79999999999999993</c:v>
                </c:pt>
                <c:pt idx="9">
                  <c:v>0.89999999999999991</c:v>
                </c:pt>
                <c:pt idx="10" formatCode="0.0">
                  <c:v>0.99999999999999989</c:v>
                </c:pt>
              </c:numCache>
            </c:numRef>
          </c:xVal>
          <c:yVal>
            <c:numRef>
              <c:f>'Problem 5abc'!$I$99:$I$109</c:f>
              <c:numCache>
                <c:formatCode>General</c:formatCode>
                <c:ptCount val="11"/>
                <c:pt idx="0">
                  <c:v>2</c:v>
                </c:pt>
                <c:pt idx="1">
                  <c:v>1.6561922592339458</c:v>
                </c:pt>
                <c:pt idx="2">
                  <c:v>1.4109601381069177</c:v>
                </c:pt>
                <c:pt idx="3">
                  <c:v>1.2464349082820791</c:v>
                </c:pt>
                <c:pt idx="4">
                  <c:v>1.147986892351665</c:v>
                </c:pt>
                <c:pt idx="5">
                  <c:v>1.103638323514327</c:v>
                </c:pt>
                <c:pt idx="6">
                  <c:v>1.1035826357366063</c:v>
                </c:pt>
                <c:pt idx="7">
                  <c:v>1.1397908918248194</c:v>
                </c:pt>
                <c:pt idx="8">
                  <c:v>1.2056895539839663</c:v>
                </c:pt>
                <c:pt idx="9">
                  <c:v>1.2958966646647596</c:v>
                </c:pt>
                <c:pt idx="10">
                  <c:v>1.406005849709838</c:v>
                </c:pt>
              </c:numCache>
            </c:numRef>
          </c:yVal>
          <c:smooth val="1"/>
          <c:extLst>
            <c:ext xmlns:c16="http://schemas.microsoft.com/office/drawing/2014/chart" uri="{C3380CC4-5D6E-409C-BE32-E72D297353CC}">
              <c16:uniqueId val="{00000005-4489-42F6-A923-F41AD354D706}"/>
            </c:ext>
          </c:extLst>
        </c:ser>
        <c:dLbls>
          <c:showLegendKey val="0"/>
          <c:showVal val="0"/>
          <c:showCatName val="0"/>
          <c:showSerName val="0"/>
          <c:showPercent val="0"/>
          <c:showBubbleSize val="0"/>
        </c:dLbls>
        <c:axId val="709998968"/>
        <c:axId val="709998648"/>
        <c:extLst>
          <c:ext xmlns:c15="http://schemas.microsoft.com/office/drawing/2012/chart" uri="{02D57815-91ED-43cb-92C2-25804820EDAC}">
            <c15:filteredScatterSeries>
              <c15:ser>
                <c:idx val="0"/>
                <c:order val="0"/>
                <c:spPr>
                  <a:ln w="19050" cap="rnd">
                    <a:solidFill>
                      <a:schemeClr val="accent1"/>
                    </a:solidFill>
                    <a:round/>
                  </a:ln>
                  <a:effectLst/>
                </c:spPr>
                <c:marker>
                  <c:symbol val="none"/>
                </c:marker>
                <c:yVal>
                  <c:numRef>
                    <c:extLst>
                      <c:ext uri="{02D57815-91ED-43cb-92C2-25804820EDAC}">
                        <c15:formulaRef>
                          <c15:sqref>'Problem 5abc'!$B$120</c15:sqref>
                        </c15:formulaRef>
                      </c:ext>
                    </c:extLst>
                    <c:numCache>
                      <c:formatCode>General</c:formatCode>
                      <c:ptCount val="1"/>
                      <c:pt idx="0">
                        <c:v>0</c:v>
                      </c:pt>
                    </c:numCache>
                  </c:numRef>
                </c:yVal>
                <c:smooth val="1"/>
                <c:extLst>
                  <c:ext xmlns:c16="http://schemas.microsoft.com/office/drawing/2014/chart" uri="{C3380CC4-5D6E-409C-BE32-E72D297353CC}">
                    <c16:uniqueId val="{00000000-4489-42F6-A923-F41AD354D706}"/>
                  </c:ext>
                </c:extLst>
              </c15:ser>
            </c15:filteredScatterSeries>
          </c:ext>
        </c:extLst>
      </c:scatterChart>
      <c:valAx>
        <c:axId val="70999896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t_n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998648"/>
        <c:crosses val="autoZero"/>
        <c:crossBetween val="midCat"/>
      </c:valAx>
      <c:valAx>
        <c:axId val="709998648"/>
        <c:scaling>
          <c:orientation val="minMax"/>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y_n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99896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22.png"/><Relationship Id="rId7" Type="http://schemas.openxmlformats.org/officeDocument/2006/relationships/chart" Target="../charts/chart5.xml"/><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23.png"/><Relationship Id="rId9"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3</xdr:col>
      <xdr:colOff>942975</xdr:colOff>
      <xdr:row>6</xdr:row>
      <xdr:rowOff>290512</xdr:rowOff>
    </xdr:from>
    <xdr:ext cx="786562" cy="219163"/>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2524125" y="2709862"/>
              <a:ext cx="78656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0</m:t>
                        </m:r>
                      </m:sub>
                    </m:sSub>
                    <m:r>
                      <a:rPr lang="en-US" sz="1400" b="0" i="1">
                        <a:latin typeface="Cambria Math" panose="02040503050406030204" pitchFamily="18" charset="0"/>
                      </a:rPr>
                      <m:t>=0.84</m:t>
                    </m:r>
                  </m:oMath>
                </m:oMathPara>
              </a14:m>
              <a:endParaRPr lang="en-US" sz="1400"/>
            </a:p>
          </xdr:txBody>
        </xdr:sp>
      </mc:Choice>
      <mc:Fallback xmlns="">
        <xdr:sp macro="" textlink="">
          <xdr:nvSpPr>
            <xdr:cNvPr id="27" name="TextBox 26">
              <a:extLst>
                <a:ext uri="{FF2B5EF4-FFF2-40B4-BE49-F238E27FC236}">
                  <a16:creationId xmlns:a16="http://schemas.microsoft.com/office/drawing/2014/main" id="{F40F6604-9984-4B3D-AD69-349CB075F26A}"/>
                </a:ext>
              </a:extLst>
            </xdr:cNvPr>
            <xdr:cNvSpPr txBox="1"/>
          </xdr:nvSpPr>
          <xdr:spPr>
            <a:xfrm>
              <a:off x="2524125" y="2709862"/>
              <a:ext cx="78656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𝑥_0=0.84</a:t>
              </a:r>
              <a:endParaRPr lang="en-US" sz="1400"/>
            </a:p>
          </xdr:txBody>
        </xdr:sp>
      </mc:Fallback>
    </mc:AlternateContent>
    <xdr:clientData/>
  </xdr:oneCellAnchor>
  <xdr:oneCellAnchor>
    <xdr:from>
      <xdr:col>1</xdr:col>
      <xdr:colOff>200025</xdr:colOff>
      <xdr:row>8</xdr:row>
      <xdr:rowOff>261937</xdr:rowOff>
    </xdr:from>
    <xdr:ext cx="4739823" cy="219163"/>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809625" y="3357562"/>
              <a:ext cx="4739823" cy="21916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sec</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cos</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r>
                      <a:rPr lang="en-US" sz="1400" b="0" i="1">
                        <a:latin typeface="Cambria Math" panose="02040503050406030204" pitchFamily="18" charset="0"/>
                      </a:rPr>
                      <m:t>−0.7, </m:t>
                    </m:r>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tan</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sec</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r>
                      <a:rPr lang="en-US" sz="1400" b="0" i="1">
                        <a:latin typeface="Cambria Math" panose="02040503050406030204" pitchFamily="18" charset="0"/>
                      </a:rPr>
                      <m:t>+</m:t>
                    </m:r>
                    <m:r>
                      <m:rPr>
                        <m:sty m:val="p"/>
                      </m:rPr>
                      <a:rPr lang="en-US" sz="1400" b="0" i="0">
                        <a:latin typeface="Cambria Math" panose="02040503050406030204" pitchFamily="18" charset="0"/>
                      </a:rPr>
                      <m:t>sin</m:t>
                    </m:r>
                    <m:r>
                      <a:rPr lang="en-US" sz="1400" b="0" i="1">
                        <a:latin typeface="Cambria Math" panose="02040503050406030204" pitchFamily="18" charset="0"/>
                      </a:rPr>
                      <m:t>⁡(</m:t>
                    </m:r>
                    <m:r>
                      <a:rPr lang="en-US" sz="1400" b="0" i="1">
                        <a:latin typeface="Cambria Math" panose="02040503050406030204" pitchFamily="18" charset="0"/>
                      </a:rPr>
                      <m:t>𝑥</m:t>
                    </m:r>
                    <m:r>
                      <a:rPr lang="en-US" sz="1400" b="0" i="1">
                        <a:latin typeface="Cambria Math" panose="02040503050406030204" pitchFamily="18" charset="0"/>
                      </a:rPr>
                      <m:t>)</m:t>
                    </m:r>
                  </m:oMath>
                </m:oMathPara>
              </a14:m>
              <a:endParaRPr lang="en-US" sz="1400"/>
            </a:p>
          </xdr:txBody>
        </xdr:sp>
      </mc:Choice>
      <mc:Fallback xmlns="">
        <xdr:sp macro="" textlink="">
          <xdr:nvSpPr>
            <xdr:cNvPr id="28" name="TextBox 27">
              <a:extLst>
                <a:ext uri="{FF2B5EF4-FFF2-40B4-BE49-F238E27FC236}">
                  <a16:creationId xmlns:a16="http://schemas.microsoft.com/office/drawing/2014/main" id="{494AAD14-892E-48F6-BDE0-E1404B31D6C2}"/>
                </a:ext>
              </a:extLst>
            </xdr:cNvPr>
            <xdr:cNvSpPr txBox="1"/>
          </xdr:nvSpPr>
          <xdr:spPr>
            <a:xfrm>
              <a:off x="809625" y="3357562"/>
              <a:ext cx="4739823" cy="21916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𝑓(𝑥)=sec⁡(𝑥)−cos⁡(𝑥)−0.7, 𝑓^′ (𝑥)=tan⁡(𝑥)  sec⁡(𝑥)+sin⁡(𝑥)</a:t>
              </a:r>
              <a:endParaRPr lang="en-US" sz="1400"/>
            </a:p>
          </xdr:txBody>
        </xdr:sp>
      </mc:Fallback>
    </mc:AlternateContent>
    <xdr:clientData/>
  </xdr:oneCellAnchor>
  <xdr:oneCellAnchor>
    <xdr:from>
      <xdr:col>1</xdr:col>
      <xdr:colOff>238125</xdr:colOff>
      <xdr:row>10</xdr:row>
      <xdr:rowOff>80962</xdr:rowOff>
    </xdr:from>
    <xdr:ext cx="1538178" cy="455894"/>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847725" y="2386012"/>
              <a:ext cx="1538178" cy="4558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num>
                      <m:den>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en>
                    </m:f>
                  </m:oMath>
                </m:oMathPara>
              </a14:m>
              <a:endParaRPr lang="en-US" sz="1400"/>
            </a:p>
          </xdr:txBody>
        </xdr:sp>
      </mc:Choice>
      <mc:Fallback xmlns="">
        <xdr:sp macro="" textlink="">
          <xdr:nvSpPr>
            <xdr:cNvPr id="29" name="TextBox 28">
              <a:extLst>
                <a:ext uri="{FF2B5EF4-FFF2-40B4-BE49-F238E27FC236}">
                  <a16:creationId xmlns:a16="http://schemas.microsoft.com/office/drawing/2014/main" id="{8A9932D6-6348-42BA-9E14-40FBFE404FCA}"/>
                </a:ext>
              </a:extLst>
            </xdr:cNvPr>
            <xdr:cNvSpPr txBox="1"/>
          </xdr:nvSpPr>
          <xdr:spPr>
            <a:xfrm>
              <a:off x="847725" y="2386012"/>
              <a:ext cx="1538178" cy="4558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𝑥_(𝑛+1)=𝑥_𝑛−𝑓(𝑥_𝑛 )/(𝑓^′ (𝑥_𝑛 ) )</a:t>
              </a:r>
              <a:endParaRPr lang="en-US" sz="1400"/>
            </a:p>
          </xdr:txBody>
        </xdr:sp>
      </mc:Fallback>
    </mc:AlternateContent>
    <xdr:clientData/>
  </xdr:oneCellAnchor>
  <xdr:oneCellAnchor>
    <xdr:from>
      <xdr:col>1</xdr:col>
      <xdr:colOff>295275</xdr:colOff>
      <xdr:row>12</xdr:row>
      <xdr:rowOff>157162</xdr:rowOff>
    </xdr:from>
    <xdr:ext cx="2660279" cy="410497"/>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04875" y="5043487"/>
              <a:ext cx="2660279" cy="41049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𝜖</m:t>
                        </m:r>
                      </m:e>
                      <m:sub>
                        <m:r>
                          <a:rPr lang="en-US" sz="1400" i="1">
                            <a:solidFill>
                              <a:schemeClr val="tx1"/>
                            </a:solidFill>
                            <a:effectLst/>
                            <a:latin typeface="Cambria Math" panose="02040503050406030204" pitchFamily="18" charset="0"/>
                            <a:ea typeface="+mn-ea"/>
                            <a:cs typeface="+mn-cs"/>
                          </a:rPr>
                          <m:t>𝑎</m:t>
                        </m:r>
                      </m:sub>
                    </m:sSub>
                    <m:r>
                      <a:rPr lang="en-US" sz="1400" i="1">
                        <a:solidFill>
                          <a:schemeClr val="tx1"/>
                        </a:solidFill>
                        <a:effectLst/>
                        <a:latin typeface="Cambria Math" panose="02040503050406030204" pitchFamily="18" charset="0"/>
                        <a:ea typeface="+mn-ea"/>
                        <a:cs typeface="+mn-cs"/>
                      </a:rPr>
                      <m:t>=</m:t>
                    </m:r>
                    <m:d>
                      <m:dPr>
                        <m:begChr m:val="|"/>
                        <m:endChr m:val="|"/>
                        <m:ctrlPr>
                          <a:rPr lang="en-US" sz="1400" i="1">
                            <a:solidFill>
                              <a:schemeClr val="tx1"/>
                            </a:solidFill>
                            <a:effectLst/>
                            <a:latin typeface="Cambria Math" panose="02040503050406030204" pitchFamily="18" charset="0"/>
                            <a:ea typeface="+mn-ea"/>
                            <a:cs typeface="+mn-cs"/>
                          </a:rPr>
                        </m:ctrlPr>
                      </m:dPr>
                      <m:e>
                        <m:f>
                          <m:fPr>
                            <m:ctrlPr>
                              <a:rPr lang="en-US" sz="1400" i="1">
                                <a:solidFill>
                                  <a:schemeClr val="tx1"/>
                                </a:solidFill>
                                <a:effectLst/>
                                <a:latin typeface="Cambria Math" panose="02040503050406030204" pitchFamily="18" charset="0"/>
                                <a:ea typeface="+mn-ea"/>
                                <a:cs typeface="+mn-cs"/>
                              </a:rPr>
                            </m:ctrlPr>
                          </m:fPr>
                          <m:num>
                            <m:r>
                              <a:rPr lang="en-US" sz="1400" i="1">
                                <a:solidFill>
                                  <a:schemeClr val="tx1"/>
                                </a:solidFill>
                                <a:effectLst/>
                                <a:latin typeface="Cambria Math" panose="02040503050406030204" pitchFamily="18" charset="0"/>
                                <a:ea typeface="+mn-ea"/>
                                <a:cs typeface="+mn-cs"/>
                              </a:rPr>
                              <m:t>𝐶𝑢𝑟𝑟𝑒𝑛𝑡</m:t>
                            </m:r>
                            <m:r>
                              <a:rPr lang="en-US" sz="1400" i="1">
                                <a:solidFill>
                                  <a:schemeClr val="tx1"/>
                                </a:solidFill>
                                <a:effectLst/>
                                <a:latin typeface="Cambria Math" panose="02040503050406030204" pitchFamily="18" charset="0"/>
                                <a:ea typeface="+mn-ea"/>
                                <a:cs typeface="+mn-cs"/>
                              </a:rPr>
                              <m:t>−</m:t>
                            </m:r>
                            <m:r>
                              <a:rPr lang="en-US" sz="1400" i="1">
                                <a:solidFill>
                                  <a:schemeClr val="tx1"/>
                                </a:solidFill>
                                <a:effectLst/>
                                <a:latin typeface="Cambria Math" panose="02040503050406030204" pitchFamily="18" charset="0"/>
                                <a:ea typeface="+mn-ea"/>
                                <a:cs typeface="+mn-cs"/>
                              </a:rPr>
                              <m:t>𝑃𝑟𝑒𝑣𝑖𝑜𝑢𝑠</m:t>
                            </m:r>
                          </m:num>
                          <m:den>
                            <m:r>
                              <a:rPr lang="en-US" sz="1400" i="1">
                                <a:solidFill>
                                  <a:schemeClr val="tx1"/>
                                </a:solidFill>
                                <a:effectLst/>
                                <a:latin typeface="Cambria Math" panose="02040503050406030204" pitchFamily="18" charset="0"/>
                                <a:ea typeface="+mn-ea"/>
                                <a:cs typeface="+mn-cs"/>
                              </a:rPr>
                              <m:t>𝐶𝑢𝑟𝑟𝑒𝑛𝑡</m:t>
                            </m:r>
                          </m:den>
                        </m:f>
                      </m:e>
                    </m:d>
                    <m:r>
                      <a:rPr lang="en-US" sz="1400" i="1">
                        <a:solidFill>
                          <a:schemeClr val="tx1"/>
                        </a:solidFill>
                        <a:effectLst/>
                        <a:latin typeface="Cambria Math" panose="02040503050406030204" pitchFamily="18" charset="0"/>
                        <a:ea typeface="+mn-ea"/>
                        <a:cs typeface="+mn-cs"/>
                      </a:rPr>
                      <m:t>×100</m:t>
                    </m:r>
                  </m:oMath>
                </m:oMathPara>
              </a14:m>
              <a:endParaRPr lang="en-US" sz="1400">
                <a:solidFill>
                  <a:schemeClr val="tx1"/>
                </a:solidFill>
                <a:effectLst/>
                <a:latin typeface="+mn-lt"/>
                <a:ea typeface="+mn-ea"/>
                <a:cs typeface="+mn-cs"/>
              </a:endParaRPr>
            </a:p>
          </xdr:txBody>
        </xdr:sp>
      </mc:Choice>
      <mc:Fallback xmlns="">
        <xdr:sp macro="" textlink="">
          <xdr:nvSpPr>
            <xdr:cNvPr id="30" name="TextBox 29">
              <a:extLst>
                <a:ext uri="{FF2B5EF4-FFF2-40B4-BE49-F238E27FC236}">
                  <a16:creationId xmlns:a16="http://schemas.microsoft.com/office/drawing/2014/main" id="{8DCA69E0-7FA9-4327-B011-BFBED22512A2}"/>
                </a:ext>
              </a:extLst>
            </xdr:cNvPr>
            <xdr:cNvSpPr txBox="1"/>
          </xdr:nvSpPr>
          <xdr:spPr>
            <a:xfrm>
              <a:off x="904875" y="5043487"/>
              <a:ext cx="2660279" cy="41049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400" i="0">
                  <a:solidFill>
                    <a:schemeClr val="tx1"/>
                  </a:solidFill>
                  <a:effectLst/>
                  <a:latin typeface="Cambria Math" panose="02040503050406030204" pitchFamily="18" charset="0"/>
                  <a:ea typeface="+mn-ea"/>
                  <a:cs typeface="+mn-cs"/>
                </a:rPr>
                <a:t>𝜖_𝑎=|(𝐶𝑢𝑟𝑟𝑒𝑛𝑡−𝑃𝑟𝑒𝑣𝑖𝑜𝑢𝑠)/𝐶𝑢𝑟𝑟𝑒𝑛𝑡|×100</a:t>
              </a:r>
              <a:endParaRPr lang="en-US" sz="1400">
                <a:solidFill>
                  <a:schemeClr val="tx1"/>
                </a:solidFill>
                <a:effectLst/>
                <a:latin typeface="+mn-lt"/>
                <a:ea typeface="+mn-ea"/>
                <a:cs typeface="+mn-cs"/>
              </a:endParaRPr>
            </a:p>
          </xdr:txBody>
        </xdr:sp>
      </mc:Fallback>
    </mc:AlternateContent>
    <xdr:clientData/>
  </xdr:oneCellAnchor>
  <xdr:oneCellAnchor>
    <xdr:from>
      <xdr:col>2</xdr:col>
      <xdr:colOff>104775</xdr:colOff>
      <xdr:row>16</xdr:row>
      <xdr:rowOff>195262</xdr:rowOff>
    </xdr:from>
    <xdr:ext cx="146642" cy="219163"/>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323975" y="3919537"/>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𝑛</m:t>
                    </m:r>
                  </m:oMath>
                </m:oMathPara>
              </a14:m>
              <a:endParaRPr lang="en-US" sz="1400"/>
            </a:p>
          </xdr:txBody>
        </xdr:sp>
      </mc:Choice>
      <mc:Fallback xmlns="">
        <xdr:sp macro="" textlink="">
          <xdr:nvSpPr>
            <xdr:cNvPr id="32" name="TextBox 31">
              <a:extLst>
                <a:ext uri="{FF2B5EF4-FFF2-40B4-BE49-F238E27FC236}">
                  <a16:creationId xmlns:a16="http://schemas.microsoft.com/office/drawing/2014/main" id="{040CFFC2-6EDD-44CC-AF82-AD5E79442BD0}"/>
                </a:ext>
              </a:extLst>
            </xdr:cNvPr>
            <xdr:cNvSpPr txBox="1"/>
          </xdr:nvSpPr>
          <xdr:spPr>
            <a:xfrm>
              <a:off x="1323975" y="3919537"/>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𝑛</a:t>
              </a:r>
              <a:endParaRPr lang="en-US" sz="1400"/>
            </a:p>
          </xdr:txBody>
        </xdr:sp>
      </mc:Fallback>
    </mc:AlternateContent>
    <xdr:clientData/>
  </xdr:oneCellAnchor>
  <xdr:oneCellAnchor>
    <xdr:from>
      <xdr:col>7</xdr:col>
      <xdr:colOff>476250</xdr:colOff>
      <xdr:row>16</xdr:row>
      <xdr:rowOff>204787</xdr:rowOff>
    </xdr:from>
    <xdr:ext cx="791114" cy="219163"/>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7048500" y="4510087"/>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r>
                      <a:rPr lang="en-US" sz="1400" b="0" i="1">
                        <a:latin typeface="Cambria Math" panose="02040503050406030204" pitchFamily="18" charset="0"/>
                      </a:rPr>
                      <m:t> (</m:t>
                    </m:r>
                    <m:r>
                      <a:rPr lang="en-US" sz="1400" b="0" i="1">
                        <a:latin typeface="Cambria Math" panose="02040503050406030204" pitchFamily="18" charset="0"/>
                      </a:rPr>
                      <m:t>𝑎𝑠</m:t>
                    </m:r>
                    <m:r>
                      <a:rPr lang="en-US" sz="1400" b="0" i="1">
                        <a:latin typeface="Cambria Math" panose="02040503050406030204" pitchFamily="18" charset="0"/>
                      </a:rPr>
                      <m:t> %)</m:t>
                    </m:r>
                  </m:oMath>
                </m:oMathPara>
              </a14:m>
              <a:endParaRPr lang="en-US" sz="1400"/>
            </a:p>
          </xdr:txBody>
        </xdr:sp>
      </mc:Choice>
      <mc:Fallback xmlns="">
        <xdr:sp macro="" textlink="">
          <xdr:nvSpPr>
            <xdr:cNvPr id="33" name="TextBox 32">
              <a:extLst>
                <a:ext uri="{FF2B5EF4-FFF2-40B4-BE49-F238E27FC236}">
                  <a16:creationId xmlns:a16="http://schemas.microsoft.com/office/drawing/2014/main" id="{6394B4B5-7C49-48CC-B113-75655C500719}"/>
                </a:ext>
              </a:extLst>
            </xdr:cNvPr>
            <xdr:cNvSpPr txBox="1"/>
          </xdr:nvSpPr>
          <xdr:spPr>
            <a:xfrm>
              <a:off x="7048500" y="4510087"/>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𝜖_𝑎  (𝑎𝑠 %)</a:t>
              </a:r>
              <a:endParaRPr lang="en-US" sz="1400"/>
            </a:p>
          </xdr:txBody>
        </xdr:sp>
      </mc:Fallback>
    </mc:AlternateContent>
    <xdr:clientData/>
  </xdr:oneCellAnchor>
  <xdr:oneCellAnchor>
    <xdr:from>
      <xdr:col>6</xdr:col>
      <xdr:colOff>85725</xdr:colOff>
      <xdr:row>16</xdr:row>
      <xdr:rowOff>80962</xdr:rowOff>
    </xdr:from>
    <xdr:ext cx="1150443" cy="484043"/>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5372100" y="4386262"/>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d>
                      <m:dPr>
                        <m:ctrlPr>
                          <a:rPr lang="en-US" sz="1400" b="0" i="1">
                            <a:latin typeface="Cambria Math" panose="02040503050406030204" pitchFamily="18" charset="0"/>
                          </a:rPr>
                        </m:ctrlPr>
                      </m:dPr>
                      <m:e>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num>
                          <m:den>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en>
                        </m:f>
                      </m:e>
                    </m:d>
                  </m:oMath>
                </m:oMathPara>
              </a14:m>
              <a:endParaRPr lang="en-US" sz="1400"/>
            </a:p>
          </xdr:txBody>
        </xdr:sp>
      </mc:Choice>
      <mc:Fallback xmlns="">
        <xdr:sp macro="" textlink="">
          <xdr:nvSpPr>
            <xdr:cNvPr id="34" name="TextBox 33">
              <a:extLst>
                <a:ext uri="{FF2B5EF4-FFF2-40B4-BE49-F238E27FC236}">
                  <a16:creationId xmlns:a16="http://schemas.microsoft.com/office/drawing/2014/main" id="{3FD4EA9A-B52E-402A-8199-717BCC88DA64}"/>
                </a:ext>
              </a:extLst>
            </xdr:cNvPr>
            <xdr:cNvSpPr txBox="1"/>
          </xdr:nvSpPr>
          <xdr:spPr>
            <a:xfrm>
              <a:off x="5372100" y="4386262"/>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𝑥_𝑛−(𝑓(𝑥_𝑛 )/(𝑓^′ (𝑥_𝑛 ) ))</a:t>
              </a:r>
              <a:endParaRPr lang="en-US" sz="1400"/>
            </a:p>
          </xdr:txBody>
        </xdr:sp>
      </mc:Fallback>
    </mc:AlternateContent>
    <xdr:clientData/>
  </xdr:oneCellAnchor>
  <xdr:oneCellAnchor>
    <xdr:from>
      <xdr:col>5</xdr:col>
      <xdr:colOff>419100</xdr:colOff>
      <xdr:row>16</xdr:row>
      <xdr:rowOff>204787</xdr:rowOff>
    </xdr:from>
    <xdr:ext cx="523220" cy="219163"/>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4419600" y="3929062"/>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mlns="">
        <xdr:sp macro="" textlink="">
          <xdr:nvSpPr>
            <xdr:cNvPr id="35" name="TextBox 34">
              <a:extLst>
                <a:ext uri="{FF2B5EF4-FFF2-40B4-BE49-F238E27FC236}">
                  <a16:creationId xmlns:a16="http://schemas.microsoft.com/office/drawing/2014/main" id="{A0E04F3F-7FEF-4595-9915-435EC8DD2F07}"/>
                </a:ext>
              </a:extLst>
            </xdr:cNvPr>
            <xdr:cNvSpPr txBox="1"/>
          </xdr:nvSpPr>
          <xdr:spPr>
            <a:xfrm>
              <a:off x="4419600" y="3929062"/>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𝑓′(𝑥_𝑛)</a:t>
              </a:r>
              <a:endParaRPr lang="en-US" sz="1400"/>
            </a:p>
          </xdr:txBody>
        </xdr:sp>
      </mc:Fallback>
    </mc:AlternateContent>
    <xdr:clientData/>
  </xdr:oneCellAnchor>
  <xdr:oneCellAnchor>
    <xdr:from>
      <xdr:col>4</xdr:col>
      <xdr:colOff>457200</xdr:colOff>
      <xdr:row>16</xdr:row>
      <xdr:rowOff>195262</xdr:rowOff>
    </xdr:from>
    <xdr:ext cx="482120" cy="219163"/>
    <mc:AlternateContent xmlns:mc="http://schemas.openxmlformats.org/markup-compatibility/2006" xmlns:a14="http://schemas.microsoft.com/office/drawing/2010/main">
      <mc:Choice Requires="a14">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3095625" y="3919537"/>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mlns="">
        <xdr:sp macro="" textlink="">
          <xdr:nvSpPr>
            <xdr:cNvPr id="36" name="TextBox 35">
              <a:extLst>
                <a:ext uri="{FF2B5EF4-FFF2-40B4-BE49-F238E27FC236}">
                  <a16:creationId xmlns:a16="http://schemas.microsoft.com/office/drawing/2014/main" id="{C0F18B20-93CD-41B2-8C77-AB91EF691AB9}"/>
                </a:ext>
              </a:extLst>
            </xdr:cNvPr>
            <xdr:cNvSpPr txBox="1"/>
          </xdr:nvSpPr>
          <xdr:spPr>
            <a:xfrm>
              <a:off x="3095625" y="3919537"/>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𝑓(𝑥_𝑛)</a:t>
              </a:r>
              <a:endParaRPr lang="en-US" sz="1400"/>
            </a:p>
          </xdr:txBody>
        </xdr:sp>
      </mc:Fallback>
    </mc:AlternateContent>
    <xdr:clientData/>
  </xdr:oneCellAnchor>
  <xdr:oneCellAnchor>
    <xdr:from>
      <xdr:col>3</xdr:col>
      <xdr:colOff>438150</xdr:colOff>
      <xdr:row>16</xdr:row>
      <xdr:rowOff>176212</xdr:rowOff>
    </xdr:from>
    <xdr:ext cx="229165" cy="219163"/>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2019300" y="3900487"/>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oMath>
                </m:oMathPara>
              </a14:m>
              <a:endParaRPr lang="en-US" sz="1400"/>
            </a:p>
          </xdr:txBody>
        </xdr:sp>
      </mc:Choice>
      <mc:Fallback xmlns="">
        <xdr:sp macro="" textlink="">
          <xdr:nvSpPr>
            <xdr:cNvPr id="37" name="TextBox 36">
              <a:extLst>
                <a:ext uri="{FF2B5EF4-FFF2-40B4-BE49-F238E27FC236}">
                  <a16:creationId xmlns:a16="http://schemas.microsoft.com/office/drawing/2014/main" id="{AD640A5E-86E5-41CE-B56B-46BF8D4A6634}"/>
                </a:ext>
              </a:extLst>
            </xdr:cNvPr>
            <xdr:cNvSpPr txBox="1"/>
          </xdr:nvSpPr>
          <xdr:spPr>
            <a:xfrm>
              <a:off x="2019300" y="3900487"/>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𝑥_𝑛</a:t>
              </a:r>
              <a:endParaRPr lang="en-US" sz="1400"/>
            </a:p>
          </xdr:txBody>
        </xdr:sp>
      </mc:Fallback>
    </mc:AlternateContent>
    <xdr:clientData/>
  </xdr:oneCellAnchor>
  <xdr:twoCellAnchor editAs="oneCell">
    <xdr:from>
      <xdr:col>2</xdr:col>
      <xdr:colOff>57150</xdr:colOff>
      <xdr:row>1</xdr:row>
      <xdr:rowOff>95250</xdr:rowOff>
    </xdr:from>
    <xdr:to>
      <xdr:col>7</xdr:col>
      <xdr:colOff>200025</xdr:colOff>
      <xdr:row>1</xdr:row>
      <xdr:rowOff>1205793</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
        <a:stretch>
          <a:fillRect/>
        </a:stretch>
      </xdr:blipFill>
      <xdr:spPr>
        <a:xfrm>
          <a:off x="1276350" y="333375"/>
          <a:ext cx="5495925" cy="1110543"/>
        </a:xfrm>
        <a:prstGeom prst="rect">
          <a:avLst/>
        </a:prstGeom>
      </xdr:spPr>
    </xdr:pic>
    <xdr:clientData/>
  </xdr:twoCellAnchor>
  <xdr:twoCellAnchor editAs="oneCell">
    <xdr:from>
      <xdr:col>8</xdr:col>
      <xdr:colOff>104775</xdr:colOff>
      <xdr:row>8</xdr:row>
      <xdr:rowOff>14402</xdr:rowOff>
    </xdr:from>
    <xdr:to>
      <xdr:col>14</xdr:col>
      <xdr:colOff>494656</xdr:colOff>
      <xdr:row>8</xdr:row>
      <xdr:rowOff>695217</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2"/>
        <a:stretch>
          <a:fillRect/>
        </a:stretch>
      </xdr:blipFill>
      <xdr:spPr>
        <a:xfrm>
          <a:off x="8296275" y="3110027"/>
          <a:ext cx="4047481" cy="680815"/>
        </a:xfrm>
        <a:prstGeom prst="rect">
          <a:avLst/>
        </a:prstGeom>
      </xdr:spPr>
    </xdr:pic>
    <xdr:clientData/>
  </xdr:twoCellAnchor>
  <xdr:twoCellAnchor editAs="oneCell">
    <xdr:from>
      <xdr:col>10</xdr:col>
      <xdr:colOff>324342</xdr:colOff>
      <xdr:row>15</xdr:row>
      <xdr:rowOff>161925</xdr:rowOff>
    </xdr:from>
    <xdr:to>
      <xdr:col>16</xdr:col>
      <xdr:colOff>571500</xdr:colOff>
      <xdr:row>43</xdr:row>
      <xdr:rowOff>109323</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3"/>
        <a:stretch>
          <a:fillRect/>
        </a:stretch>
      </xdr:blipFill>
      <xdr:spPr>
        <a:xfrm>
          <a:off x="9354042" y="6238875"/>
          <a:ext cx="4142883" cy="2500098"/>
        </a:xfrm>
        <a:prstGeom prst="rect">
          <a:avLst/>
        </a:prstGeom>
      </xdr:spPr>
    </xdr:pic>
    <xdr:clientData/>
  </xdr:twoCellAnchor>
  <xdr:twoCellAnchor editAs="oneCell">
    <xdr:from>
      <xdr:col>3</xdr:col>
      <xdr:colOff>53671</xdr:colOff>
      <xdr:row>46</xdr:row>
      <xdr:rowOff>85725</xdr:rowOff>
    </xdr:from>
    <xdr:to>
      <xdr:col>6</xdr:col>
      <xdr:colOff>884494</xdr:colOff>
      <xdr:row>61</xdr:row>
      <xdr:rowOff>27754</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4"/>
        <a:stretch>
          <a:fillRect/>
        </a:stretch>
      </xdr:blipFill>
      <xdr:spPr>
        <a:xfrm>
          <a:off x="1634821" y="12525375"/>
          <a:ext cx="4536048" cy="2799529"/>
        </a:xfrm>
        <a:prstGeom prst="rect">
          <a:avLst/>
        </a:prstGeom>
      </xdr:spPr>
    </xdr:pic>
    <xdr:clientData/>
  </xdr:twoCellAnchor>
  <xdr:twoCellAnchor editAs="oneCell">
    <xdr:from>
      <xdr:col>3</xdr:col>
      <xdr:colOff>68304</xdr:colOff>
      <xdr:row>64</xdr:row>
      <xdr:rowOff>76200</xdr:rowOff>
    </xdr:from>
    <xdr:to>
      <xdr:col>6</xdr:col>
      <xdr:colOff>914849</xdr:colOff>
      <xdr:row>80</xdr:row>
      <xdr:rowOff>114300</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
        <a:stretch>
          <a:fillRect/>
        </a:stretch>
      </xdr:blipFill>
      <xdr:spPr>
        <a:xfrm>
          <a:off x="1649454" y="15944850"/>
          <a:ext cx="4551770" cy="3086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400050</xdr:colOff>
      <xdr:row>17</xdr:row>
      <xdr:rowOff>133350</xdr:rowOff>
    </xdr:from>
    <xdr:ext cx="708399" cy="32137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143250" y="3895725"/>
              <a:ext cx="708399" cy="3213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𝑏</m:t>
                        </m:r>
                        <m:r>
                          <a:rPr lang="en-US" sz="1100" b="0" i="1">
                            <a:latin typeface="Cambria Math" panose="02040503050406030204" pitchFamily="18" charset="0"/>
                          </a:rPr>
                          <m:t>−</m:t>
                        </m:r>
                        <m:r>
                          <a:rPr lang="en-US" sz="1100" b="0" i="1">
                            <a:latin typeface="Cambria Math" panose="02040503050406030204" pitchFamily="18" charset="0"/>
                          </a:rPr>
                          <m:t>𝑎</m:t>
                        </m:r>
                      </m:num>
                      <m:den>
                        <m:r>
                          <a:rPr lang="en-US" sz="1100" b="0" i="1">
                            <a:latin typeface="Cambria Math" panose="02040503050406030204" pitchFamily="18" charset="0"/>
                          </a:rPr>
                          <m:t>𝑛</m:t>
                        </m:r>
                      </m:den>
                    </m:f>
                  </m:oMath>
                </m:oMathPara>
              </a14:m>
              <a:endParaRPr lang="en-US" sz="1100"/>
            </a:p>
          </xdr:txBody>
        </xdr:sp>
      </mc:Choice>
      <mc:Fallback xmlns="">
        <xdr:sp macro="" textlink="">
          <xdr:nvSpPr>
            <xdr:cNvPr id="3" name="TextBox 2">
              <a:extLst>
                <a:ext uri="{FF2B5EF4-FFF2-40B4-BE49-F238E27FC236}">
                  <a16:creationId xmlns:a16="http://schemas.microsoft.com/office/drawing/2014/main" id="{B02E083A-4483-4C86-9A91-F0F65E3B58A2}"/>
                </a:ext>
              </a:extLst>
            </xdr:cNvPr>
            <xdr:cNvSpPr txBox="1"/>
          </xdr:nvSpPr>
          <xdr:spPr>
            <a:xfrm>
              <a:off x="3143250" y="3895725"/>
              <a:ext cx="708399" cy="3213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Δ𝑥=(𝑏−𝑎)/𝑛</a:t>
              </a:r>
              <a:endParaRPr lang="en-US" sz="1100"/>
            </a:p>
          </xdr:txBody>
        </xdr:sp>
      </mc:Fallback>
    </mc:AlternateContent>
    <xdr:clientData/>
  </xdr:oneCellAnchor>
  <xdr:oneCellAnchor>
    <xdr:from>
      <xdr:col>2</xdr:col>
      <xdr:colOff>219075</xdr:colOff>
      <xdr:row>18</xdr:row>
      <xdr:rowOff>47625</xdr:rowOff>
    </xdr:from>
    <xdr:ext cx="195310" cy="1722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743075" y="4000500"/>
              <a:ext cx="1953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4" name="TextBox 3">
              <a:extLst>
                <a:ext uri="{FF2B5EF4-FFF2-40B4-BE49-F238E27FC236}">
                  <a16:creationId xmlns:a16="http://schemas.microsoft.com/office/drawing/2014/main" id="{24A97EC6-2EB0-43E7-819E-F0783B430FDE}"/>
                </a:ext>
              </a:extLst>
            </xdr:cNvPr>
            <xdr:cNvSpPr txBox="1"/>
          </xdr:nvSpPr>
          <xdr:spPr>
            <a:xfrm>
              <a:off x="1743075" y="4000500"/>
              <a:ext cx="1953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100"/>
            </a:p>
          </xdr:txBody>
        </xdr:sp>
      </mc:Fallback>
    </mc:AlternateContent>
    <xdr:clientData/>
  </xdr:oneCellAnchor>
  <xdr:twoCellAnchor editAs="oneCell">
    <xdr:from>
      <xdr:col>11</xdr:col>
      <xdr:colOff>272650</xdr:colOff>
      <xdr:row>10</xdr:row>
      <xdr:rowOff>123825</xdr:rowOff>
    </xdr:from>
    <xdr:to>
      <xdr:col>16</xdr:col>
      <xdr:colOff>704850</xdr:colOff>
      <xdr:row>25</xdr:row>
      <xdr:rowOff>75312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9673825" y="2552700"/>
          <a:ext cx="4851800" cy="3628137"/>
        </a:xfrm>
        <a:prstGeom prst="rect">
          <a:avLst/>
        </a:prstGeom>
      </xdr:spPr>
    </xdr:pic>
    <xdr:clientData/>
  </xdr:twoCellAnchor>
  <xdr:twoCellAnchor editAs="oneCell">
    <xdr:from>
      <xdr:col>3</xdr:col>
      <xdr:colOff>66675</xdr:colOff>
      <xdr:row>21</xdr:row>
      <xdr:rowOff>72139</xdr:rowOff>
    </xdr:from>
    <xdr:to>
      <xdr:col>10</xdr:col>
      <xdr:colOff>550997</xdr:colOff>
      <xdr:row>21</xdr:row>
      <xdr:rowOff>676148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a:stretch>
          <a:fillRect/>
        </a:stretch>
      </xdr:blipFill>
      <xdr:spPr>
        <a:xfrm>
          <a:off x="2200275" y="4653664"/>
          <a:ext cx="6951797" cy="604009"/>
        </a:xfrm>
        <a:prstGeom prst="rect">
          <a:avLst/>
        </a:prstGeom>
      </xdr:spPr>
    </xdr:pic>
    <xdr:clientData/>
  </xdr:twoCellAnchor>
  <xdr:twoCellAnchor editAs="oneCell">
    <xdr:from>
      <xdr:col>9</xdr:col>
      <xdr:colOff>238125</xdr:colOff>
      <xdr:row>77</xdr:row>
      <xdr:rowOff>200025</xdr:rowOff>
    </xdr:from>
    <xdr:to>
      <xdr:col>13</xdr:col>
      <xdr:colOff>580556</xdr:colOff>
      <xdr:row>81</xdr:row>
      <xdr:rowOff>95120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8229600" y="16383000"/>
          <a:ext cx="3752381" cy="1038095"/>
        </a:xfrm>
        <a:prstGeom prst="rect">
          <a:avLst/>
        </a:prstGeom>
      </xdr:spPr>
    </xdr:pic>
    <xdr:clientData/>
  </xdr:twoCellAnchor>
  <xdr:oneCellAnchor>
    <xdr:from>
      <xdr:col>3</xdr:col>
      <xdr:colOff>228600</xdr:colOff>
      <xdr:row>24</xdr:row>
      <xdr:rowOff>38100</xdr:rowOff>
    </xdr:from>
    <xdr:ext cx="339901" cy="316882"/>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2362200" y="5743575"/>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r>
                      <a:rPr lang="en-US" sz="1100" b="0" i="1">
                        <a:latin typeface="Cambria Math" panose="02040503050406030204" pitchFamily="18" charset="0"/>
                      </a:rPr>
                      <m:t>=</m:t>
                    </m:r>
                  </m:oMath>
                </m:oMathPara>
              </a14:m>
              <a:endParaRPr lang="en-US" sz="1100"/>
            </a:p>
          </xdr:txBody>
        </xdr:sp>
      </mc:Choice>
      <mc:Fallback xmlns="">
        <xdr:sp macro="" textlink="">
          <xdr:nvSpPr>
            <xdr:cNvPr id="8" name="TextBox 7">
              <a:extLst>
                <a:ext uri="{FF2B5EF4-FFF2-40B4-BE49-F238E27FC236}">
                  <a16:creationId xmlns:a16="http://schemas.microsoft.com/office/drawing/2014/main" id="{526F2354-73F5-4134-B1AD-39638820EC47}"/>
                </a:ext>
              </a:extLst>
            </xdr:cNvPr>
            <xdr:cNvSpPr txBox="1"/>
          </xdr:nvSpPr>
          <xdr:spPr>
            <a:xfrm>
              <a:off x="2362200" y="5743575"/>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Δ𝑥/2=</a:t>
              </a:r>
              <a:endParaRPr lang="en-US" sz="1100"/>
            </a:p>
          </xdr:txBody>
        </xdr:sp>
      </mc:Fallback>
    </mc:AlternateContent>
    <xdr:clientData/>
  </xdr:oneCellAnchor>
  <xdr:oneCellAnchor>
    <xdr:from>
      <xdr:col>4</xdr:col>
      <xdr:colOff>247650</xdr:colOff>
      <xdr:row>25</xdr:row>
      <xdr:rowOff>123825</xdr:rowOff>
    </xdr:from>
    <xdr:ext cx="524246"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990850" y="6229350"/>
              <a:ext cx="5242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9" name="TextBox 8">
              <a:extLst>
                <a:ext uri="{FF2B5EF4-FFF2-40B4-BE49-F238E27FC236}">
                  <a16:creationId xmlns:a16="http://schemas.microsoft.com/office/drawing/2014/main" id="{9518BCF5-2184-4CC3-8D87-130AEB0AE15D}"/>
                </a:ext>
              </a:extLst>
            </xdr:cNvPr>
            <xdr:cNvSpPr txBox="1"/>
          </xdr:nvSpPr>
          <xdr:spPr>
            <a:xfrm>
              <a:off x="2990850" y="6229350"/>
              <a:ext cx="5242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𝑎+𝑛Δ𝑥</a:t>
              </a:r>
              <a:endParaRPr lang="en-US" sz="1100"/>
            </a:p>
          </xdr:txBody>
        </xdr:sp>
      </mc:Fallback>
    </mc:AlternateContent>
    <xdr:clientData/>
  </xdr:oneCellAnchor>
  <xdr:oneCellAnchor>
    <xdr:from>
      <xdr:col>5</xdr:col>
      <xdr:colOff>161925</xdr:colOff>
      <xdr:row>25</xdr:row>
      <xdr:rowOff>142875</xdr:rowOff>
    </xdr:from>
    <xdr:ext cx="723018" cy="17222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3924300" y="6248400"/>
              <a:ext cx="72301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oMath>
                </m:oMathPara>
              </a14:m>
              <a:endParaRPr lang="en-US" sz="1100"/>
            </a:p>
          </xdr:txBody>
        </xdr:sp>
      </mc:Choice>
      <mc:Fallback xmlns="">
        <xdr:sp macro="" textlink="">
          <xdr:nvSpPr>
            <xdr:cNvPr id="10" name="TextBox 9">
              <a:extLst>
                <a:ext uri="{FF2B5EF4-FFF2-40B4-BE49-F238E27FC236}">
                  <a16:creationId xmlns:a16="http://schemas.microsoft.com/office/drawing/2014/main" id="{770A1400-F075-49CA-837F-15AEA0E2C36E}"/>
                </a:ext>
              </a:extLst>
            </xdr:cNvPr>
            <xdr:cNvSpPr txBox="1"/>
          </xdr:nvSpPr>
          <xdr:spPr>
            <a:xfrm>
              <a:off x="3924300" y="6248400"/>
              <a:ext cx="72301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𝑓(𝑎+𝑛Δ𝑥)</a:t>
              </a:r>
              <a:endParaRPr lang="en-US" sz="1100"/>
            </a:p>
          </xdr:txBody>
        </xdr:sp>
      </mc:Fallback>
    </mc:AlternateContent>
    <xdr:clientData/>
  </xdr:oneCellAnchor>
  <xdr:oneCellAnchor>
    <xdr:from>
      <xdr:col>6</xdr:col>
      <xdr:colOff>95250</xdr:colOff>
      <xdr:row>25</xdr:row>
      <xdr:rowOff>142875</xdr:rowOff>
    </xdr:from>
    <xdr:ext cx="903645" cy="172227"/>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876800" y="6248400"/>
              <a:ext cx="9036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oMath>
                </m:oMathPara>
              </a14:m>
              <a:endParaRPr lang="en-US" sz="1100"/>
            </a:p>
          </xdr:txBody>
        </xdr:sp>
      </mc:Choice>
      <mc:Fallback xmlns="">
        <xdr:sp macro="" textlink="">
          <xdr:nvSpPr>
            <xdr:cNvPr id="11" name="TextBox 10">
              <a:extLst>
                <a:ext uri="{FF2B5EF4-FFF2-40B4-BE49-F238E27FC236}">
                  <a16:creationId xmlns:a16="http://schemas.microsoft.com/office/drawing/2014/main" id="{FE298523-4BD3-4B20-B86C-C330566244E6}"/>
                </a:ext>
              </a:extLst>
            </xdr:cNvPr>
            <xdr:cNvSpPr txBox="1"/>
          </xdr:nvSpPr>
          <xdr:spPr>
            <a:xfrm>
              <a:off x="4876800" y="6248400"/>
              <a:ext cx="9036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2⋅𝑓(𝑎+𝑛Δ𝑥)</a:t>
              </a:r>
              <a:endParaRPr lang="en-US" sz="1100"/>
            </a:p>
          </xdr:txBody>
        </xdr:sp>
      </mc:Fallback>
    </mc:AlternateContent>
    <xdr:clientData/>
  </xdr:oneCellAnchor>
  <xdr:oneCellAnchor>
    <xdr:from>
      <xdr:col>2</xdr:col>
      <xdr:colOff>257175</xdr:colOff>
      <xdr:row>93</xdr:row>
      <xdr:rowOff>419100</xdr:rowOff>
    </xdr:from>
    <xdr:ext cx="115224" cy="17222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781175" y="20640675"/>
              <a:ext cx="11522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𝑛</m:t>
                    </m:r>
                  </m:oMath>
                </m:oMathPara>
              </a14:m>
              <a:endParaRPr lang="en-US" sz="1100"/>
            </a:p>
          </xdr:txBody>
        </xdr:sp>
      </mc:Choice>
      <mc:Fallback xmlns="">
        <xdr:sp macro="" textlink="">
          <xdr:nvSpPr>
            <xdr:cNvPr id="12" name="TextBox 11">
              <a:extLst>
                <a:ext uri="{FF2B5EF4-FFF2-40B4-BE49-F238E27FC236}">
                  <a16:creationId xmlns:a16="http://schemas.microsoft.com/office/drawing/2014/main" id="{1ADA7977-C13F-45E2-B5A4-FC492A025E42}"/>
                </a:ext>
              </a:extLst>
            </xdr:cNvPr>
            <xdr:cNvSpPr txBox="1"/>
          </xdr:nvSpPr>
          <xdr:spPr>
            <a:xfrm>
              <a:off x="1781175" y="20640675"/>
              <a:ext cx="11522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r>
                <a:rPr lang="en-US" sz="1100" b="0" i="0">
                  <a:latin typeface="Cambria Math" panose="02040503050406030204" pitchFamily="18" charset="0"/>
                </a:rPr>
                <a:t>𝑛</a:t>
              </a:r>
              <a:endParaRPr lang="en-US" sz="1100"/>
            </a:p>
          </xdr:txBody>
        </xdr:sp>
      </mc:Fallback>
    </mc:AlternateContent>
    <xdr:clientData/>
  </xdr:oneCellAnchor>
  <xdr:oneCellAnchor>
    <xdr:from>
      <xdr:col>3</xdr:col>
      <xdr:colOff>38100</xdr:colOff>
      <xdr:row>93</xdr:row>
      <xdr:rowOff>433387</xdr:rowOff>
    </xdr:from>
    <xdr:ext cx="524246" cy="1722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2171700" y="20654962"/>
              <a:ext cx="5242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17B0427F-59A7-4881-8042-D8BC315C6EB7}"/>
                </a:ext>
              </a:extLst>
            </xdr:cNvPr>
            <xdr:cNvSpPr txBox="1"/>
          </xdr:nvSpPr>
          <xdr:spPr>
            <a:xfrm>
              <a:off x="2171700" y="20654962"/>
              <a:ext cx="5242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𝑎+𝑛Δ𝑥</a:t>
              </a:r>
              <a:endParaRPr lang="en-US" sz="1100"/>
            </a:p>
          </xdr:txBody>
        </xdr:sp>
      </mc:Fallback>
    </mc:AlternateContent>
    <xdr:clientData/>
  </xdr:oneCellAnchor>
  <xdr:oneCellAnchor>
    <xdr:from>
      <xdr:col>4</xdr:col>
      <xdr:colOff>142875</xdr:colOff>
      <xdr:row>93</xdr:row>
      <xdr:rowOff>423862</xdr:rowOff>
    </xdr:from>
    <xdr:ext cx="688971" cy="17222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86075" y="20645437"/>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4" name="TextBox 13">
              <a:extLst>
                <a:ext uri="{FF2B5EF4-FFF2-40B4-BE49-F238E27FC236}">
                  <a16:creationId xmlns:a16="http://schemas.microsoft.com/office/drawing/2014/main" id="{1FC1A44C-AD2C-4401-90FC-3638C059ACD4}"/>
                </a:ext>
              </a:extLst>
            </xdr:cNvPr>
            <xdr:cNvSpPr txBox="1"/>
          </xdr:nvSpPr>
          <xdr:spPr>
            <a:xfrm>
              <a:off x="2886075" y="20645437"/>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𝑓(𝑎+𝑖Δ𝑥)</a:t>
              </a:r>
              <a:endParaRPr lang="en-US" sz="1100"/>
            </a:p>
          </xdr:txBody>
        </xdr:sp>
      </mc:Fallback>
    </mc:AlternateContent>
    <xdr:clientData/>
  </xdr:oneCellAnchor>
  <xdr:oneCellAnchor>
    <xdr:from>
      <xdr:col>6</xdr:col>
      <xdr:colOff>38100</xdr:colOff>
      <xdr:row>93</xdr:row>
      <xdr:rowOff>381000</xdr:rowOff>
    </xdr:from>
    <xdr:ext cx="1123000" cy="172227"/>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4819650" y="20602575"/>
              <a:ext cx="11230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𝑓𝑎𝑐𝑡</m:t>
                    </m:r>
                    <m:r>
                      <a:rPr lang="en-US" sz="1100" b="0" i="1">
                        <a:latin typeface="Cambria Math" panose="02040503050406030204" pitchFamily="18" charset="0"/>
                      </a:rPr>
                      <m:t>⋅</m:t>
                    </m:r>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5" name="TextBox 14">
              <a:extLst>
                <a:ext uri="{FF2B5EF4-FFF2-40B4-BE49-F238E27FC236}">
                  <a16:creationId xmlns:a16="http://schemas.microsoft.com/office/drawing/2014/main" id="{03DAC787-EF95-4334-9B48-6D36FAA2DCCD}"/>
                </a:ext>
              </a:extLst>
            </xdr:cNvPr>
            <xdr:cNvSpPr txBox="1"/>
          </xdr:nvSpPr>
          <xdr:spPr>
            <a:xfrm>
              <a:off x="4819650" y="20602575"/>
              <a:ext cx="11230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𝑓𝑎𝑐𝑡⋅𝑓(𝑎+𝑛Δ𝑥)</a:t>
              </a:r>
              <a:endParaRPr lang="en-US" sz="1100"/>
            </a:p>
          </xdr:txBody>
        </xdr:sp>
      </mc:Fallback>
    </mc:AlternateContent>
    <xdr:clientData/>
  </xdr:oneCellAnchor>
  <xdr:oneCellAnchor>
    <xdr:from>
      <xdr:col>7</xdr:col>
      <xdr:colOff>95250</xdr:colOff>
      <xdr:row>93</xdr:row>
      <xdr:rowOff>176212</xdr:rowOff>
    </xdr:from>
    <xdr:ext cx="1568250" cy="318036"/>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038850" y="20493037"/>
              <a:ext cx="1568250"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solidFill>
                              <a:srgbClr val="FF0000"/>
                            </a:solidFill>
                            <a:latin typeface="Cambria Math" panose="02040503050406030204" pitchFamily="18" charset="0"/>
                          </a:rPr>
                        </m:ctrlPr>
                      </m:fPr>
                      <m:num>
                        <m:r>
                          <m:rPr>
                            <m:sty m:val="p"/>
                          </m:rPr>
                          <a:rPr lang="en-US" sz="1100" b="0" i="0">
                            <a:solidFill>
                              <a:srgbClr val="FF0000"/>
                            </a:solidFill>
                            <a:latin typeface="Cambria Math" panose="02040503050406030204" pitchFamily="18" charset="0"/>
                          </a:rPr>
                          <m:t>Δ</m:t>
                        </m:r>
                        <m:r>
                          <a:rPr lang="en-US" sz="1100" b="0" i="1">
                            <a:solidFill>
                              <a:srgbClr val="FF0000"/>
                            </a:solidFill>
                            <a:latin typeface="Cambria Math" panose="02040503050406030204" pitchFamily="18" charset="0"/>
                          </a:rPr>
                          <m:t>𝑥</m:t>
                        </m:r>
                      </m:num>
                      <m:den>
                        <m:r>
                          <a:rPr lang="en-US" sz="1100" b="0" i="1">
                            <a:solidFill>
                              <a:srgbClr val="FF0000"/>
                            </a:solidFill>
                            <a:latin typeface="Cambria Math" panose="02040503050406030204" pitchFamily="18" charset="0"/>
                          </a:rPr>
                          <m:t>3</m:t>
                        </m:r>
                      </m:den>
                    </m:f>
                    <m:r>
                      <a:rPr lang="en-US" sz="1100" b="0" i="1">
                        <a:solidFill>
                          <a:srgbClr val="FF0000"/>
                        </a:solidFill>
                        <a:latin typeface="Cambria Math" panose="02040503050406030204" pitchFamily="18" charset="0"/>
                      </a:rPr>
                      <m:t>⋅</m:t>
                    </m:r>
                    <m:r>
                      <m:rPr>
                        <m:sty m:val="p"/>
                      </m:rPr>
                      <a:rPr lang="en-US" sz="1100" b="0" i="0">
                        <a:solidFill>
                          <a:srgbClr val="FF0000"/>
                        </a:solidFill>
                        <a:latin typeface="Cambria Math" panose="02040503050406030204" pitchFamily="18" charset="0"/>
                      </a:rPr>
                      <m:t>Σ</m:t>
                    </m:r>
                    <m:r>
                      <a:rPr lang="en-US" sz="1100" b="0" i="1">
                        <a:solidFill>
                          <a:srgbClr val="FF0000"/>
                        </a:solidFill>
                        <a:latin typeface="Cambria Math" panose="02040503050406030204" pitchFamily="18" charset="0"/>
                      </a:rPr>
                      <m:t>(</m:t>
                    </m:r>
                    <m:r>
                      <a:rPr lang="en-US" sz="1100" b="0" i="1">
                        <a:solidFill>
                          <a:srgbClr val="FF0000"/>
                        </a:solidFill>
                        <a:latin typeface="Cambria Math" panose="02040503050406030204" pitchFamily="18" charset="0"/>
                      </a:rPr>
                      <m:t>𝑓𝑎𝑐𝑡</m:t>
                    </m:r>
                    <m:r>
                      <a:rPr lang="en-US" sz="1100" b="0" i="1">
                        <a:solidFill>
                          <a:srgbClr val="FF0000"/>
                        </a:solidFill>
                        <a:latin typeface="Cambria Math" panose="02040503050406030204" pitchFamily="18" charset="0"/>
                      </a:rPr>
                      <m:t>⋅</m:t>
                    </m:r>
                    <m:r>
                      <a:rPr lang="en-US" sz="1100" b="0" i="1">
                        <a:solidFill>
                          <a:srgbClr val="FF0000"/>
                        </a:solidFill>
                        <a:latin typeface="Cambria Math" panose="02040503050406030204" pitchFamily="18" charset="0"/>
                      </a:rPr>
                      <m:t>𝑓</m:t>
                    </m:r>
                    <m:d>
                      <m:dPr>
                        <m:ctrlPr>
                          <a:rPr lang="en-US" sz="1100" b="0" i="1">
                            <a:solidFill>
                              <a:srgbClr val="FF0000"/>
                            </a:solidFill>
                            <a:latin typeface="Cambria Math" panose="02040503050406030204" pitchFamily="18" charset="0"/>
                          </a:rPr>
                        </m:ctrlPr>
                      </m:dPr>
                      <m:e>
                        <m:r>
                          <a:rPr lang="en-US" sz="1100" b="0" i="1">
                            <a:solidFill>
                              <a:srgbClr val="FF0000"/>
                            </a:solidFill>
                            <a:latin typeface="Cambria Math" panose="02040503050406030204" pitchFamily="18" charset="0"/>
                          </a:rPr>
                          <m:t>𝑎</m:t>
                        </m:r>
                        <m:r>
                          <a:rPr lang="en-US" sz="1100" b="0" i="1">
                            <a:solidFill>
                              <a:srgbClr val="FF0000"/>
                            </a:solidFill>
                            <a:latin typeface="Cambria Math" panose="02040503050406030204" pitchFamily="18" charset="0"/>
                          </a:rPr>
                          <m:t>+</m:t>
                        </m:r>
                        <m:r>
                          <a:rPr lang="en-US" sz="1100" b="0" i="1">
                            <a:solidFill>
                              <a:srgbClr val="FF0000"/>
                            </a:solidFill>
                            <a:latin typeface="Cambria Math" panose="02040503050406030204" pitchFamily="18" charset="0"/>
                          </a:rPr>
                          <m:t>𝑛</m:t>
                        </m:r>
                        <m:r>
                          <m:rPr>
                            <m:sty m:val="p"/>
                          </m:rPr>
                          <a:rPr lang="en-US" sz="1100" b="0" i="0">
                            <a:solidFill>
                              <a:srgbClr val="FF0000"/>
                            </a:solidFill>
                            <a:latin typeface="Cambria Math" panose="02040503050406030204" pitchFamily="18" charset="0"/>
                          </a:rPr>
                          <m:t>Δ</m:t>
                        </m:r>
                        <m:r>
                          <a:rPr lang="en-US" sz="1100" b="0" i="1">
                            <a:solidFill>
                              <a:srgbClr val="FF0000"/>
                            </a:solidFill>
                            <a:latin typeface="Cambria Math" panose="02040503050406030204" pitchFamily="18" charset="0"/>
                          </a:rPr>
                          <m:t>𝑥</m:t>
                        </m:r>
                      </m:e>
                    </m:d>
                    <m:r>
                      <a:rPr lang="en-US" sz="1100" b="0" i="1">
                        <a:solidFill>
                          <a:srgbClr val="FF0000"/>
                        </a:solidFill>
                        <a:latin typeface="Cambria Math" panose="02040503050406030204" pitchFamily="18" charset="0"/>
                      </a:rPr>
                      <m:t>)</m:t>
                    </m:r>
                  </m:oMath>
                </m:oMathPara>
              </a14:m>
              <a:endParaRPr lang="en-US" sz="1100">
                <a:solidFill>
                  <a:srgbClr val="FF0000"/>
                </a:solidFill>
              </a:endParaRPr>
            </a:p>
          </xdr:txBody>
        </xdr:sp>
      </mc:Choice>
      <mc:Fallback xmlns="">
        <xdr:sp macro="" textlink="">
          <xdr:nvSpPr>
            <xdr:cNvPr id="16" name="TextBox 15">
              <a:extLst>
                <a:ext uri="{FF2B5EF4-FFF2-40B4-BE49-F238E27FC236}">
                  <a16:creationId xmlns:a16="http://schemas.microsoft.com/office/drawing/2014/main" id="{573D9762-4A71-49EC-BCB0-E291F5F5A0A3}"/>
                </a:ext>
              </a:extLst>
            </xdr:cNvPr>
            <xdr:cNvSpPr txBox="1"/>
          </xdr:nvSpPr>
          <xdr:spPr>
            <a:xfrm>
              <a:off x="6038850" y="20493037"/>
              <a:ext cx="1568250"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rgbClr val="FF0000"/>
                  </a:solidFill>
                  <a:latin typeface="Cambria Math" panose="02040503050406030204" pitchFamily="18" charset="0"/>
                </a:rPr>
                <a:t>Δ𝑥/3⋅Σ(𝑓𝑎𝑐𝑡⋅𝑓(𝑎+𝑛Δ𝑥))</a:t>
              </a:r>
              <a:endParaRPr lang="en-US" sz="1100">
                <a:solidFill>
                  <a:srgbClr val="FF0000"/>
                </a:solidFill>
              </a:endParaRPr>
            </a:p>
          </xdr:txBody>
        </xdr:sp>
      </mc:Fallback>
    </mc:AlternateContent>
    <xdr:clientData/>
  </xdr:oneCellAnchor>
  <xdr:oneCellAnchor>
    <xdr:from>
      <xdr:col>7</xdr:col>
      <xdr:colOff>85725</xdr:colOff>
      <xdr:row>93</xdr:row>
      <xdr:rowOff>566737</xdr:rowOff>
    </xdr:from>
    <xdr:ext cx="1646348" cy="31803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6029325" y="20883562"/>
              <a:ext cx="1646348"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solidFill>
                              <a:schemeClr val="accent1">
                                <a:lumMod val="75000"/>
                              </a:schemeClr>
                            </a:solidFill>
                            <a:latin typeface="Cambria Math" panose="02040503050406030204" pitchFamily="18" charset="0"/>
                          </a:rPr>
                        </m:ctrlPr>
                      </m:fPr>
                      <m:num>
                        <m:r>
                          <a:rPr lang="en-US" sz="1100" b="0" i="0">
                            <a:solidFill>
                              <a:schemeClr val="accent1">
                                <a:lumMod val="75000"/>
                              </a:schemeClr>
                            </a:solidFill>
                            <a:latin typeface="Cambria Math" panose="02040503050406030204" pitchFamily="18" charset="0"/>
                          </a:rPr>
                          <m:t>3</m:t>
                        </m:r>
                        <m:r>
                          <m:rPr>
                            <m:sty m:val="p"/>
                          </m:rPr>
                          <a:rPr lang="en-US" sz="1100" b="0" i="0">
                            <a:solidFill>
                              <a:schemeClr val="accent1">
                                <a:lumMod val="75000"/>
                              </a:schemeClr>
                            </a:solidFill>
                            <a:latin typeface="Cambria Math" panose="02040503050406030204" pitchFamily="18" charset="0"/>
                          </a:rPr>
                          <m:t>Δ</m:t>
                        </m:r>
                        <m:r>
                          <a:rPr lang="en-US" sz="1100" b="0" i="1">
                            <a:solidFill>
                              <a:schemeClr val="accent1">
                                <a:lumMod val="75000"/>
                              </a:schemeClr>
                            </a:solidFill>
                            <a:latin typeface="Cambria Math" panose="02040503050406030204" pitchFamily="18" charset="0"/>
                          </a:rPr>
                          <m:t>𝑥</m:t>
                        </m:r>
                      </m:num>
                      <m:den>
                        <m:r>
                          <a:rPr lang="en-US" sz="1100" b="0" i="1">
                            <a:solidFill>
                              <a:schemeClr val="accent1">
                                <a:lumMod val="75000"/>
                              </a:schemeClr>
                            </a:solidFill>
                            <a:latin typeface="Cambria Math" panose="02040503050406030204" pitchFamily="18" charset="0"/>
                          </a:rPr>
                          <m:t>8</m:t>
                        </m:r>
                      </m:den>
                    </m:f>
                    <m:r>
                      <a:rPr lang="en-US" sz="1100" b="0" i="1">
                        <a:solidFill>
                          <a:schemeClr val="accent1">
                            <a:lumMod val="75000"/>
                          </a:schemeClr>
                        </a:solidFill>
                        <a:latin typeface="Cambria Math" panose="02040503050406030204" pitchFamily="18" charset="0"/>
                      </a:rPr>
                      <m:t>⋅</m:t>
                    </m:r>
                    <m:r>
                      <m:rPr>
                        <m:sty m:val="p"/>
                      </m:rPr>
                      <a:rPr lang="en-US" sz="1100" b="0" i="0">
                        <a:solidFill>
                          <a:schemeClr val="accent1">
                            <a:lumMod val="75000"/>
                          </a:schemeClr>
                        </a:solidFill>
                        <a:latin typeface="Cambria Math" panose="02040503050406030204" pitchFamily="18" charset="0"/>
                      </a:rPr>
                      <m:t>Σ</m:t>
                    </m:r>
                    <m:r>
                      <a:rPr lang="en-US" sz="1100" b="0" i="1">
                        <a:solidFill>
                          <a:schemeClr val="accent1">
                            <a:lumMod val="75000"/>
                          </a:schemeClr>
                        </a:solidFill>
                        <a:latin typeface="Cambria Math" panose="02040503050406030204" pitchFamily="18" charset="0"/>
                      </a:rPr>
                      <m:t>(</m:t>
                    </m:r>
                    <m:r>
                      <a:rPr lang="en-US" sz="1100" b="0" i="1">
                        <a:solidFill>
                          <a:schemeClr val="accent1">
                            <a:lumMod val="75000"/>
                          </a:schemeClr>
                        </a:solidFill>
                        <a:latin typeface="Cambria Math" panose="02040503050406030204" pitchFamily="18" charset="0"/>
                      </a:rPr>
                      <m:t>𝑓𝑎𝑐𝑡</m:t>
                    </m:r>
                    <m:r>
                      <a:rPr lang="en-US" sz="1100" b="0" i="1">
                        <a:solidFill>
                          <a:schemeClr val="accent1">
                            <a:lumMod val="75000"/>
                          </a:schemeClr>
                        </a:solidFill>
                        <a:latin typeface="Cambria Math" panose="02040503050406030204" pitchFamily="18" charset="0"/>
                      </a:rPr>
                      <m:t>⋅</m:t>
                    </m:r>
                    <m:r>
                      <a:rPr lang="en-US" sz="1100" b="0" i="1">
                        <a:solidFill>
                          <a:schemeClr val="accent1">
                            <a:lumMod val="75000"/>
                          </a:schemeClr>
                        </a:solidFill>
                        <a:latin typeface="Cambria Math" panose="02040503050406030204" pitchFamily="18" charset="0"/>
                      </a:rPr>
                      <m:t>𝑓</m:t>
                    </m:r>
                    <m:d>
                      <m:dPr>
                        <m:ctrlPr>
                          <a:rPr lang="en-US" sz="1100" b="0" i="1">
                            <a:solidFill>
                              <a:schemeClr val="accent1">
                                <a:lumMod val="75000"/>
                              </a:schemeClr>
                            </a:solidFill>
                            <a:latin typeface="Cambria Math" panose="02040503050406030204" pitchFamily="18" charset="0"/>
                          </a:rPr>
                        </m:ctrlPr>
                      </m:dPr>
                      <m:e>
                        <m:r>
                          <a:rPr lang="en-US" sz="1100" b="0" i="1">
                            <a:solidFill>
                              <a:schemeClr val="accent1">
                                <a:lumMod val="75000"/>
                              </a:schemeClr>
                            </a:solidFill>
                            <a:latin typeface="Cambria Math" panose="02040503050406030204" pitchFamily="18" charset="0"/>
                          </a:rPr>
                          <m:t>𝑎</m:t>
                        </m:r>
                        <m:r>
                          <a:rPr lang="en-US" sz="1100" b="0" i="1">
                            <a:solidFill>
                              <a:schemeClr val="accent1">
                                <a:lumMod val="75000"/>
                              </a:schemeClr>
                            </a:solidFill>
                            <a:latin typeface="Cambria Math" panose="02040503050406030204" pitchFamily="18" charset="0"/>
                          </a:rPr>
                          <m:t>+</m:t>
                        </m:r>
                        <m:r>
                          <a:rPr lang="en-US" sz="1100" b="0" i="1">
                            <a:solidFill>
                              <a:schemeClr val="accent1">
                                <a:lumMod val="75000"/>
                              </a:schemeClr>
                            </a:solidFill>
                            <a:latin typeface="Cambria Math" panose="02040503050406030204" pitchFamily="18" charset="0"/>
                          </a:rPr>
                          <m:t>𝑛</m:t>
                        </m:r>
                        <m:r>
                          <m:rPr>
                            <m:sty m:val="p"/>
                          </m:rPr>
                          <a:rPr lang="en-US" sz="1100" b="0" i="0">
                            <a:solidFill>
                              <a:schemeClr val="accent1">
                                <a:lumMod val="75000"/>
                              </a:schemeClr>
                            </a:solidFill>
                            <a:latin typeface="Cambria Math" panose="02040503050406030204" pitchFamily="18" charset="0"/>
                          </a:rPr>
                          <m:t>Δ</m:t>
                        </m:r>
                        <m:r>
                          <a:rPr lang="en-US" sz="1100" b="0" i="1">
                            <a:solidFill>
                              <a:schemeClr val="accent1">
                                <a:lumMod val="75000"/>
                              </a:schemeClr>
                            </a:solidFill>
                            <a:latin typeface="Cambria Math" panose="02040503050406030204" pitchFamily="18" charset="0"/>
                          </a:rPr>
                          <m:t>𝑥</m:t>
                        </m:r>
                      </m:e>
                    </m:d>
                    <m:r>
                      <a:rPr lang="en-US" sz="1100" b="0" i="1">
                        <a:solidFill>
                          <a:schemeClr val="accent1">
                            <a:lumMod val="75000"/>
                          </a:schemeClr>
                        </a:solidFill>
                        <a:latin typeface="Cambria Math" panose="02040503050406030204" pitchFamily="18" charset="0"/>
                      </a:rPr>
                      <m:t>)</m:t>
                    </m:r>
                  </m:oMath>
                </m:oMathPara>
              </a14:m>
              <a:endParaRPr lang="en-US" sz="1100">
                <a:solidFill>
                  <a:schemeClr val="accent1">
                    <a:lumMod val="75000"/>
                  </a:schemeClr>
                </a:solidFill>
              </a:endParaRPr>
            </a:p>
          </xdr:txBody>
        </xdr:sp>
      </mc:Choice>
      <mc:Fallback xmlns="">
        <xdr:sp macro="" textlink="">
          <xdr:nvSpPr>
            <xdr:cNvPr id="17" name="TextBox 16">
              <a:extLst>
                <a:ext uri="{FF2B5EF4-FFF2-40B4-BE49-F238E27FC236}">
                  <a16:creationId xmlns:a16="http://schemas.microsoft.com/office/drawing/2014/main" id="{80F3F68A-0308-4EB6-A324-272E5260323A}"/>
                </a:ext>
              </a:extLst>
            </xdr:cNvPr>
            <xdr:cNvSpPr txBox="1"/>
          </xdr:nvSpPr>
          <xdr:spPr>
            <a:xfrm>
              <a:off x="6029325" y="20883562"/>
              <a:ext cx="1646348"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accent1">
                      <a:lumMod val="75000"/>
                    </a:schemeClr>
                  </a:solidFill>
                  <a:latin typeface="Cambria Math" panose="02040503050406030204" pitchFamily="18" charset="0"/>
                </a:rPr>
                <a:t>3Δ𝑥/8⋅Σ(𝑓𝑎𝑐𝑡⋅𝑓(𝑎+𝑛Δ𝑥))</a:t>
              </a:r>
              <a:endParaRPr lang="en-US" sz="1100">
                <a:solidFill>
                  <a:schemeClr val="accent1">
                    <a:lumMod val="75000"/>
                  </a:schemeClr>
                </a:solidFill>
              </a:endParaRPr>
            </a:p>
          </xdr:txBody>
        </xdr:sp>
      </mc:Fallback>
    </mc:AlternateContent>
    <xdr:clientData/>
  </xdr:oneCellAnchor>
  <xdr:oneCellAnchor>
    <xdr:from>
      <xdr:col>1</xdr:col>
      <xdr:colOff>466725</xdr:colOff>
      <xdr:row>92</xdr:row>
      <xdr:rowOff>161925</xdr:rowOff>
    </xdr:from>
    <xdr:ext cx="339901" cy="172227"/>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076325" y="20193000"/>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24" name="TextBox 23">
              <a:extLst>
                <a:ext uri="{FF2B5EF4-FFF2-40B4-BE49-F238E27FC236}">
                  <a16:creationId xmlns:a16="http://schemas.microsoft.com/office/drawing/2014/main" id="{DE21C395-2907-4319-B05B-5C8133960FA6}"/>
                </a:ext>
              </a:extLst>
            </xdr:cNvPr>
            <xdr:cNvSpPr txBox="1"/>
          </xdr:nvSpPr>
          <xdr:spPr>
            <a:xfrm>
              <a:off x="1076325" y="20193000"/>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100"/>
            </a:p>
          </xdr:txBody>
        </xdr:sp>
      </mc:Fallback>
    </mc:AlternateContent>
    <xdr:clientData/>
  </xdr:oneCellAnchor>
  <xdr:oneCellAnchor>
    <xdr:from>
      <xdr:col>2</xdr:col>
      <xdr:colOff>247650</xdr:colOff>
      <xdr:row>106</xdr:row>
      <xdr:rowOff>438150</xdr:rowOff>
    </xdr:from>
    <xdr:ext cx="115224" cy="172227"/>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771650" y="24079200"/>
              <a:ext cx="11522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𝑛</m:t>
                    </m:r>
                  </m:oMath>
                </m:oMathPara>
              </a14:m>
              <a:endParaRPr lang="en-US" sz="1100"/>
            </a:p>
          </xdr:txBody>
        </xdr:sp>
      </mc:Choice>
      <mc:Fallback xmlns="">
        <xdr:sp macro="" textlink="">
          <xdr:nvSpPr>
            <xdr:cNvPr id="25" name="TextBox 24">
              <a:extLst>
                <a:ext uri="{FF2B5EF4-FFF2-40B4-BE49-F238E27FC236}">
                  <a16:creationId xmlns:a16="http://schemas.microsoft.com/office/drawing/2014/main" id="{E9A9F301-782A-458C-A11B-97EBD7086159}"/>
                </a:ext>
              </a:extLst>
            </xdr:cNvPr>
            <xdr:cNvSpPr txBox="1"/>
          </xdr:nvSpPr>
          <xdr:spPr>
            <a:xfrm>
              <a:off x="1771650" y="24079200"/>
              <a:ext cx="11522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r>
                <a:rPr lang="en-US" sz="1100" b="0" i="0">
                  <a:latin typeface="Cambria Math" panose="02040503050406030204" pitchFamily="18" charset="0"/>
                </a:rPr>
                <a:t>𝑛</a:t>
              </a:r>
              <a:endParaRPr lang="en-US" sz="1100"/>
            </a:p>
          </xdr:txBody>
        </xdr:sp>
      </mc:Fallback>
    </mc:AlternateContent>
    <xdr:clientData/>
  </xdr:oneCellAnchor>
  <xdr:oneCellAnchor>
    <xdr:from>
      <xdr:col>3</xdr:col>
      <xdr:colOff>28575</xdr:colOff>
      <xdr:row>106</xdr:row>
      <xdr:rowOff>452437</xdr:rowOff>
    </xdr:from>
    <xdr:ext cx="524246" cy="172227"/>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2162175" y="24093487"/>
              <a:ext cx="5242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26" name="TextBox 25">
              <a:extLst>
                <a:ext uri="{FF2B5EF4-FFF2-40B4-BE49-F238E27FC236}">
                  <a16:creationId xmlns:a16="http://schemas.microsoft.com/office/drawing/2014/main" id="{63194378-8AD8-4EAD-B09E-C19407C5B2A5}"/>
                </a:ext>
              </a:extLst>
            </xdr:cNvPr>
            <xdr:cNvSpPr txBox="1"/>
          </xdr:nvSpPr>
          <xdr:spPr>
            <a:xfrm>
              <a:off x="2162175" y="24093487"/>
              <a:ext cx="5242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𝑎+𝑛Δ𝑥</a:t>
              </a:r>
              <a:endParaRPr lang="en-US" sz="1100"/>
            </a:p>
          </xdr:txBody>
        </xdr:sp>
      </mc:Fallback>
    </mc:AlternateContent>
    <xdr:clientData/>
  </xdr:oneCellAnchor>
  <xdr:oneCellAnchor>
    <xdr:from>
      <xdr:col>4</xdr:col>
      <xdr:colOff>133350</xdr:colOff>
      <xdr:row>106</xdr:row>
      <xdr:rowOff>442912</xdr:rowOff>
    </xdr:from>
    <xdr:ext cx="688971" cy="172227"/>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2876550" y="2408396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27" name="TextBox 26">
              <a:extLst>
                <a:ext uri="{FF2B5EF4-FFF2-40B4-BE49-F238E27FC236}">
                  <a16:creationId xmlns:a16="http://schemas.microsoft.com/office/drawing/2014/main" id="{D6F5B795-029A-45B1-9789-48B8F18F5AF4}"/>
                </a:ext>
              </a:extLst>
            </xdr:cNvPr>
            <xdr:cNvSpPr txBox="1"/>
          </xdr:nvSpPr>
          <xdr:spPr>
            <a:xfrm>
              <a:off x="2876550" y="2408396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𝑓(𝑎+𝑖Δ𝑥)</a:t>
              </a:r>
              <a:endParaRPr lang="en-US" sz="1100"/>
            </a:p>
          </xdr:txBody>
        </xdr:sp>
      </mc:Fallback>
    </mc:AlternateContent>
    <xdr:clientData/>
  </xdr:oneCellAnchor>
  <xdr:oneCellAnchor>
    <xdr:from>
      <xdr:col>6</xdr:col>
      <xdr:colOff>28575</xdr:colOff>
      <xdr:row>106</xdr:row>
      <xdr:rowOff>400050</xdr:rowOff>
    </xdr:from>
    <xdr:ext cx="1123000" cy="172227"/>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810125" y="24041100"/>
              <a:ext cx="11230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𝑓𝑎𝑐𝑡</m:t>
                    </m:r>
                    <m:r>
                      <a:rPr lang="en-US" sz="1100" b="0" i="1">
                        <a:latin typeface="Cambria Math" panose="02040503050406030204" pitchFamily="18" charset="0"/>
                      </a:rPr>
                      <m:t>⋅</m:t>
                    </m:r>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28" name="TextBox 27">
              <a:extLst>
                <a:ext uri="{FF2B5EF4-FFF2-40B4-BE49-F238E27FC236}">
                  <a16:creationId xmlns:a16="http://schemas.microsoft.com/office/drawing/2014/main" id="{A07DE1C5-018C-4D7B-B0F5-5B4879047EFE}"/>
                </a:ext>
              </a:extLst>
            </xdr:cNvPr>
            <xdr:cNvSpPr txBox="1"/>
          </xdr:nvSpPr>
          <xdr:spPr>
            <a:xfrm>
              <a:off x="4810125" y="24041100"/>
              <a:ext cx="11230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𝑓𝑎𝑐𝑡⋅𝑓(𝑎+𝑛Δ𝑥)</a:t>
              </a:r>
              <a:endParaRPr lang="en-US" sz="1100"/>
            </a:p>
          </xdr:txBody>
        </xdr:sp>
      </mc:Fallback>
    </mc:AlternateContent>
    <xdr:clientData/>
  </xdr:oneCellAnchor>
  <xdr:oneCellAnchor>
    <xdr:from>
      <xdr:col>7</xdr:col>
      <xdr:colOff>85725</xdr:colOff>
      <xdr:row>106</xdr:row>
      <xdr:rowOff>195262</xdr:rowOff>
    </xdr:from>
    <xdr:ext cx="1568250" cy="318036"/>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6029325" y="23836312"/>
              <a:ext cx="1568250"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solidFill>
                              <a:srgbClr val="FF0000"/>
                            </a:solidFill>
                            <a:latin typeface="Cambria Math" panose="02040503050406030204" pitchFamily="18" charset="0"/>
                          </a:rPr>
                        </m:ctrlPr>
                      </m:fPr>
                      <m:num>
                        <m:r>
                          <m:rPr>
                            <m:sty m:val="p"/>
                          </m:rPr>
                          <a:rPr lang="en-US" sz="1100" b="0" i="0">
                            <a:solidFill>
                              <a:srgbClr val="FF0000"/>
                            </a:solidFill>
                            <a:latin typeface="Cambria Math" panose="02040503050406030204" pitchFamily="18" charset="0"/>
                          </a:rPr>
                          <m:t>Δ</m:t>
                        </m:r>
                        <m:r>
                          <a:rPr lang="en-US" sz="1100" b="0" i="1">
                            <a:solidFill>
                              <a:srgbClr val="FF0000"/>
                            </a:solidFill>
                            <a:latin typeface="Cambria Math" panose="02040503050406030204" pitchFamily="18" charset="0"/>
                          </a:rPr>
                          <m:t>𝑥</m:t>
                        </m:r>
                      </m:num>
                      <m:den>
                        <m:r>
                          <a:rPr lang="en-US" sz="1100" b="0" i="1">
                            <a:solidFill>
                              <a:srgbClr val="FF0000"/>
                            </a:solidFill>
                            <a:latin typeface="Cambria Math" panose="02040503050406030204" pitchFamily="18" charset="0"/>
                          </a:rPr>
                          <m:t>3</m:t>
                        </m:r>
                      </m:den>
                    </m:f>
                    <m:r>
                      <a:rPr lang="en-US" sz="1100" b="0" i="1">
                        <a:solidFill>
                          <a:srgbClr val="FF0000"/>
                        </a:solidFill>
                        <a:latin typeface="Cambria Math" panose="02040503050406030204" pitchFamily="18" charset="0"/>
                      </a:rPr>
                      <m:t>⋅</m:t>
                    </m:r>
                    <m:r>
                      <m:rPr>
                        <m:sty m:val="p"/>
                      </m:rPr>
                      <a:rPr lang="en-US" sz="1100" b="0" i="0">
                        <a:solidFill>
                          <a:srgbClr val="FF0000"/>
                        </a:solidFill>
                        <a:latin typeface="Cambria Math" panose="02040503050406030204" pitchFamily="18" charset="0"/>
                      </a:rPr>
                      <m:t>Σ</m:t>
                    </m:r>
                    <m:r>
                      <a:rPr lang="en-US" sz="1100" b="0" i="1">
                        <a:solidFill>
                          <a:srgbClr val="FF0000"/>
                        </a:solidFill>
                        <a:latin typeface="Cambria Math" panose="02040503050406030204" pitchFamily="18" charset="0"/>
                      </a:rPr>
                      <m:t>(</m:t>
                    </m:r>
                    <m:r>
                      <a:rPr lang="en-US" sz="1100" b="0" i="1">
                        <a:solidFill>
                          <a:srgbClr val="FF0000"/>
                        </a:solidFill>
                        <a:latin typeface="Cambria Math" panose="02040503050406030204" pitchFamily="18" charset="0"/>
                      </a:rPr>
                      <m:t>𝑓𝑎𝑐𝑡</m:t>
                    </m:r>
                    <m:r>
                      <a:rPr lang="en-US" sz="1100" b="0" i="1">
                        <a:solidFill>
                          <a:srgbClr val="FF0000"/>
                        </a:solidFill>
                        <a:latin typeface="Cambria Math" panose="02040503050406030204" pitchFamily="18" charset="0"/>
                      </a:rPr>
                      <m:t>⋅</m:t>
                    </m:r>
                    <m:r>
                      <a:rPr lang="en-US" sz="1100" b="0" i="1">
                        <a:solidFill>
                          <a:srgbClr val="FF0000"/>
                        </a:solidFill>
                        <a:latin typeface="Cambria Math" panose="02040503050406030204" pitchFamily="18" charset="0"/>
                      </a:rPr>
                      <m:t>𝑓</m:t>
                    </m:r>
                    <m:d>
                      <m:dPr>
                        <m:ctrlPr>
                          <a:rPr lang="en-US" sz="1100" b="0" i="1">
                            <a:solidFill>
                              <a:srgbClr val="FF0000"/>
                            </a:solidFill>
                            <a:latin typeface="Cambria Math" panose="02040503050406030204" pitchFamily="18" charset="0"/>
                          </a:rPr>
                        </m:ctrlPr>
                      </m:dPr>
                      <m:e>
                        <m:r>
                          <a:rPr lang="en-US" sz="1100" b="0" i="1">
                            <a:solidFill>
                              <a:srgbClr val="FF0000"/>
                            </a:solidFill>
                            <a:latin typeface="Cambria Math" panose="02040503050406030204" pitchFamily="18" charset="0"/>
                          </a:rPr>
                          <m:t>𝑎</m:t>
                        </m:r>
                        <m:r>
                          <a:rPr lang="en-US" sz="1100" b="0" i="1">
                            <a:solidFill>
                              <a:srgbClr val="FF0000"/>
                            </a:solidFill>
                            <a:latin typeface="Cambria Math" panose="02040503050406030204" pitchFamily="18" charset="0"/>
                          </a:rPr>
                          <m:t>+</m:t>
                        </m:r>
                        <m:r>
                          <a:rPr lang="en-US" sz="1100" b="0" i="1">
                            <a:solidFill>
                              <a:srgbClr val="FF0000"/>
                            </a:solidFill>
                            <a:latin typeface="Cambria Math" panose="02040503050406030204" pitchFamily="18" charset="0"/>
                          </a:rPr>
                          <m:t>𝑛</m:t>
                        </m:r>
                        <m:r>
                          <m:rPr>
                            <m:sty m:val="p"/>
                          </m:rPr>
                          <a:rPr lang="en-US" sz="1100" b="0" i="0">
                            <a:solidFill>
                              <a:srgbClr val="FF0000"/>
                            </a:solidFill>
                            <a:latin typeface="Cambria Math" panose="02040503050406030204" pitchFamily="18" charset="0"/>
                          </a:rPr>
                          <m:t>Δ</m:t>
                        </m:r>
                        <m:r>
                          <a:rPr lang="en-US" sz="1100" b="0" i="1">
                            <a:solidFill>
                              <a:srgbClr val="FF0000"/>
                            </a:solidFill>
                            <a:latin typeface="Cambria Math" panose="02040503050406030204" pitchFamily="18" charset="0"/>
                          </a:rPr>
                          <m:t>𝑥</m:t>
                        </m:r>
                      </m:e>
                    </m:d>
                    <m:r>
                      <a:rPr lang="en-US" sz="1100" b="0" i="1">
                        <a:solidFill>
                          <a:srgbClr val="FF0000"/>
                        </a:solidFill>
                        <a:latin typeface="Cambria Math" panose="02040503050406030204" pitchFamily="18" charset="0"/>
                      </a:rPr>
                      <m:t>)</m:t>
                    </m:r>
                  </m:oMath>
                </m:oMathPara>
              </a14:m>
              <a:endParaRPr lang="en-US" sz="1100">
                <a:solidFill>
                  <a:srgbClr val="FF0000"/>
                </a:solidFill>
              </a:endParaRPr>
            </a:p>
          </xdr:txBody>
        </xdr:sp>
      </mc:Choice>
      <mc:Fallback xmlns="">
        <xdr:sp macro="" textlink="">
          <xdr:nvSpPr>
            <xdr:cNvPr id="29" name="TextBox 28">
              <a:extLst>
                <a:ext uri="{FF2B5EF4-FFF2-40B4-BE49-F238E27FC236}">
                  <a16:creationId xmlns:a16="http://schemas.microsoft.com/office/drawing/2014/main" id="{5785F354-FA76-4CFE-AC4B-9778DA80D987}"/>
                </a:ext>
              </a:extLst>
            </xdr:cNvPr>
            <xdr:cNvSpPr txBox="1"/>
          </xdr:nvSpPr>
          <xdr:spPr>
            <a:xfrm>
              <a:off x="6029325" y="23836312"/>
              <a:ext cx="1568250"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rgbClr val="FF0000"/>
                  </a:solidFill>
                  <a:latin typeface="Cambria Math" panose="02040503050406030204" pitchFamily="18" charset="0"/>
                </a:rPr>
                <a:t>Δ𝑥/3⋅Σ(𝑓𝑎𝑐𝑡⋅𝑓(𝑎+𝑛Δ𝑥))</a:t>
              </a:r>
              <a:endParaRPr lang="en-US" sz="1100">
                <a:solidFill>
                  <a:srgbClr val="FF0000"/>
                </a:solidFill>
              </a:endParaRPr>
            </a:p>
          </xdr:txBody>
        </xdr:sp>
      </mc:Fallback>
    </mc:AlternateContent>
    <xdr:clientData/>
  </xdr:oneCellAnchor>
  <xdr:oneCellAnchor>
    <xdr:from>
      <xdr:col>7</xdr:col>
      <xdr:colOff>76200</xdr:colOff>
      <xdr:row>106</xdr:row>
      <xdr:rowOff>585787</xdr:rowOff>
    </xdr:from>
    <xdr:ext cx="1646348" cy="318036"/>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6019800" y="24226837"/>
              <a:ext cx="1646348"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solidFill>
                              <a:schemeClr val="accent1">
                                <a:lumMod val="75000"/>
                              </a:schemeClr>
                            </a:solidFill>
                            <a:latin typeface="Cambria Math" panose="02040503050406030204" pitchFamily="18" charset="0"/>
                          </a:rPr>
                        </m:ctrlPr>
                      </m:fPr>
                      <m:num>
                        <m:r>
                          <a:rPr lang="en-US" sz="1100" b="0" i="0">
                            <a:solidFill>
                              <a:schemeClr val="accent1">
                                <a:lumMod val="75000"/>
                              </a:schemeClr>
                            </a:solidFill>
                            <a:latin typeface="Cambria Math" panose="02040503050406030204" pitchFamily="18" charset="0"/>
                          </a:rPr>
                          <m:t>3</m:t>
                        </m:r>
                        <m:r>
                          <m:rPr>
                            <m:sty m:val="p"/>
                          </m:rPr>
                          <a:rPr lang="en-US" sz="1100" b="0" i="0">
                            <a:solidFill>
                              <a:schemeClr val="accent1">
                                <a:lumMod val="75000"/>
                              </a:schemeClr>
                            </a:solidFill>
                            <a:latin typeface="Cambria Math" panose="02040503050406030204" pitchFamily="18" charset="0"/>
                          </a:rPr>
                          <m:t>Δ</m:t>
                        </m:r>
                        <m:r>
                          <a:rPr lang="en-US" sz="1100" b="0" i="1">
                            <a:solidFill>
                              <a:schemeClr val="accent1">
                                <a:lumMod val="75000"/>
                              </a:schemeClr>
                            </a:solidFill>
                            <a:latin typeface="Cambria Math" panose="02040503050406030204" pitchFamily="18" charset="0"/>
                          </a:rPr>
                          <m:t>𝑥</m:t>
                        </m:r>
                      </m:num>
                      <m:den>
                        <m:r>
                          <a:rPr lang="en-US" sz="1100" b="0" i="1">
                            <a:solidFill>
                              <a:schemeClr val="accent1">
                                <a:lumMod val="75000"/>
                              </a:schemeClr>
                            </a:solidFill>
                            <a:latin typeface="Cambria Math" panose="02040503050406030204" pitchFamily="18" charset="0"/>
                          </a:rPr>
                          <m:t>8</m:t>
                        </m:r>
                      </m:den>
                    </m:f>
                    <m:r>
                      <a:rPr lang="en-US" sz="1100" b="0" i="1">
                        <a:solidFill>
                          <a:schemeClr val="accent1">
                            <a:lumMod val="75000"/>
                          </a:schemeClr>
                        </a:solidFill>
                        <a:latin typeface="Cambria Math" panose="02040503050406030204" pitchFamily="18" charset="0"/>
                      </a:rPr>
                      <m:t>⋅</m:t>
                    </m:r>
                    <m:r>
                      <m:rPr>
                        <m:sty m:val="p"/>
                      </m:rPr>
                      <a:rPr lang="en-US" sz="1100" b="0" i="0">
                        <a:solidFill>
                          <a:schemeClr val="accent1">
                            <a:lumMod val="75000"/>
                          </a:schemeClr>
                        </a:solidFill>
                        <a:latin typeface="Cambria Math" panose="02040503050406030204" pitchFamily="18" charset="0"/>
                      </a:rPr>
                      <m:t>Σ</m:t>
                    </m:r>
                    <m:r>
                      <a:rPr lang="en-US" sz="1100" b="0" i="1">
                        <a:solidFill>
                          <a:schemeClr val="accent1">
                            <a:lumMod val="75000"/>
                          </a:schemeClr>
                        </a:solidFill>
                        <a:latin typeface="Cambria Math" panose="02040503050406030204" pitchFamily="18" charset="0"/>
                      </a:rPr>
                      <m:t>(</m:t>
                    </m:r>
                    <m:r>
                      <a:rPr lang="en-US" sz="1100" b="0" i="1">
                        <a:solidFill>
                          <a:schemeClr val="accent1">
                            <a:lumMod val="75000"/>
                          </a:schemeClr>
                        </a:solidFill>
                        <a:latin typeface="Cambria Math" panose="02040503050406030204" pitchFamily="18" charset="0"/>
                      </a:rPr>
                      <m:t>𝑓𝑎𝑐𝑡</m:t>
                    </m:r>
                    <m:r>
                      <a:rPr lang="en-US" sz="1100" b="0" i="1">
                        <a:solidFill>
                          <a:schemeClr val="accent1">
                            <a:lumMod val="75000"/>
                          </a:schemeClr>
                        </a:solidFill>
                        <a:latin typeface="Cambria Math" panose="02040503050406030204" pitchFamily="18" charset="0"/>
                      </a:rPr>
                      <m:t>⋅</m:t>
                    </m:r>
                    <m:r>
                      <a:rPr lang="en-US" sz="1100" b="0" i="1">
                        <a:solidFill>
                          <a:schemeClr val="accent1">
                            <a:lumMod val="75000"/>
                          </a:schemeClr>
                        </a:solidFill>
                        <a:latin typeface="Cambria Math" panose="02040503050406030204" pitchFamily="18" charset="0"/>
                      </a:rPr>
                      <m:t>𝑓</m:t>
                    </m:r>
                    <m:d>
                      <m:dPr>
                        <m:ctrlPr>
                          <a:rPr lang="en-US" sz="1100" b="0" i="1">
                            <a:solidFill>
                              <a:schemeClr val="accent1">
                                <a:lumMod val="75000"/>
                              </a:schemeClr>
                            </a:solidFill>
                            <a:latin typeface="Cambria Math" panose="02040503050406030204" pitchFamily="18" charset="0"/>
                          </a:rPr>
                        </m:ctrlPr>
                      </m:dPr>
                      <m:e>
                        <m:r>
                          <a:rPr lang="en-US" sz="1100" b="0" i="1">
                            <a:solidFill>
                              <a:schemeClr val="accent1">
                                <a:lumMod val="75000"/>
                              </a:schemeClr>
                            </a:solidFill>
                            <a:latin typeface="Cambria Math" panose="02040503050406030204" pitchFamily="18" charset="0"/>
                          </a:rPr>
                          <m:t>𝑎</m:t>
                        </m:r>
                        <m:r>
                          <a:rPr lang="en-US" sz="1100" b="0" i="1">
                            <a:solidFill>
                              <a:schemeClr val="accent1">
                                <a:lumMod val="75000"/>
                              </a:schemeClr>
                            </a:solidFill>
                            <a:latin typeface="Cambria Math" panose="02040503050406030204" pitchFamily="18" charset="0"/>
                          </a:rPr>
                          <m:t>+</m:t>
                        </m:r>
                        <m:r>
                          <a:rPr lang="en-US" sz="1100" b="0" i="1">
                            <a:solidFill>
                              <a:schemeClr val="accent1">
                                <a:lumMod val="75000"/>
                              </a:schemeClr>
                            </a:solidFill>
                            <a:latin typeface="Cambria Math" panose="02040503050406030204" pitchFamily="18" charset="0"/>
                          </a:rPr>
                          <m:t>𝑛</m:t>
                        </m:r>
                        <m:r>
                          <m:rPr>
                            <m:sty m:val="p"/>
                          </m:rPr>
                          <a:rPr lang="en-US" sz="1100" b="0" i="0">
                            <a:solidFill>
                              <a:schemeClr val="accent1">
                                <a:lumMod val="75000"/>
                              </a:schemeClr>
                            </a:solidFill>
                            <a:latin typeface="Cambria Math" panose="02040503050406030204" pitchFamily="18" charset="0"/>
                          </a:rPr>
                          <m:t>Δ</m:t>
                        </m:r>
                        <m:r>
                          <a:rPr lang="en-US" sz="1100" b="0" i="1">
                            <a:solidFill>
                              <a:schemeClr val="accent1">
                                <a:lumMod val="75000"/>
                              </a:schemeClr>
                            </a:solidFill>
                            <a:latin typeface="Cambria Math" panose="02040503050406030204" pitchFamily="18" charset="0"/>
                          </a:rPr>
                          <m:t>𝑥</m:t>
                        </m:r>
                      </m:e>
                    </m:d>
                    <m:r>
                      <a:rPr lang="en-US" sz="1100" b="0" i="1">
                        <a:solidFill>
                          <a:schemeClr val="accent1">
                            <a:lumMod val="75000"/>
                          </a:schemeClr>
                        </a:solidFill>
                        <a:latin typeface="Cambria Math" panose="02040503050406030204" pitchFamily="18" charset="0"/>
                      </a:rPr>
                      <m:t>)</m:t>
                    </m:r>
                  </m:oMath>
                </m:oMathPara>
              </a14:m>
              <a:endParaRPr lang="en-US" sz="1100">
                <a:solidFill>
                  <a:schemeClr val="accent1">
                    <a:lumMod val="75000"/>
                  </a:schemeClr>
                </a:solidFill>
              </a:endParaRPr>
            </a:p>
          </xdr:txBody>
        </xdr:sp>
      </mc:Choice>
      <mc:Fallback xmlns="">
        <xdr:sp macro="" textlink="">
          <xdr:nvSpPr>
            <xdr:cNvPr id="30" name="TextBox 29">
              <a:extLst>
                <a:ext uri="{FF2B5EF4-FFF2-40B4-BE49-F238E27FC236}">
                  <a16:creationId xmlns:a16="http://schemas.microsoft.com/office/drawing/2014/main" id="{C49EBE87-9A0E-4727-A3E0-3C0CB4CC28E8}"/>
                </a:ext>
              </a:extLst>
            </xdr:cNvPr>
            <xdr:cNvSpPr txBox="1"/>
          </xdr:nvSpPr>
          <xdr:spPr>
            <a:xfrm>
              <a:off x="6019800" y="24226837"/>
              <a:ext cx="1646348"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accent1">
                      <a:lumMod val="75000"/>
                    </a:schemeClr>
                  </a:solidFill>
                  <a:latin typeface="Cambria Math" panose="02040503050406030204" pitchFamily="18" charset="0"/>
                </a:rPr>
                <a:t>3Δ𝑥/8⋅Σ(𝑓𝑎𝑐𝑡⋅𝑓(𝑎+𝑛Δ𝑥))</a:t>
              </a:r>
              <a:endParaRPr lang="en-US" sz="1100">
                <a:solidFill>
                  <a:schemeClr val="accent1">
                    <a:lumMod val="75000"/>
                  </a:schemeClr>
                </a:solidFill>
              </a:endParaRPr>
            </a:p>
          </xdr:txBody>
        </xdr:sp>
      </mc:Fallback>
    </mc:AlternateContent>
    <xdr:clientData/>
  </xdr:oneCellAnchor>
  <xdr:oneCellAnchor>
    <xdr:from>
      <xdr:col>2</xdr:col>
      <xdr:colOff>114300</xdr:colOff>
      <xdr:row>148</xdr:row>
      <xdr:rowOff>104775</xdr:rowOff>
    </xdr:from>
    <xdr:ext cx="7282828" cy="633891"/>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638300" y="29546550"/>
              <a:ext cx="7282828" cy="63389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trlPr>
                          <a:rPr lang="en-US" sz="1600" b="0" i="1">
                            <a:latin typeface="Cambria Math" panose="02040503050406030204" pitchFamily="18" charset="0"/>
                          </a:rPr>
                        </m:ctrlPr>
                      </m:naryPr>
                      <m:sub>
                        <m:r>
                          <a:rPr lang="en-US" sz="1600" b="0" i="1">
                            <a:latin typeface="Cambria Math" panose="02040503050406030204" pitchFamily="18" charset="0"/>
                          </a:rPr>
                          <m:t>1</m:t>
                        </m:r>
                      </m:sub>
                      <m:sup>
                        <m:r>
                          <a:rPr lang="en-US" sz="1600" b="0" i="1">
                            <a:latin typeface="Cambria Math" panose="02040503050406030204" pitchFamily="18" charset="0"/>
                          </a:rPr>
                          <m:t>8</m:t>
                        </m:r>
                      </m:sup>
                      <m:e>
                        <m:sSup>
                          <m:sSupPr>
                            <m:ctrlPr>
                              <a:rPr lang="en-US" sz="1600" b="0" i="1">
                                <a:latin typeface="Cambria Math" panose="02040503050406030204" pitchFamily="18" charset="0"/>
                              </a:rPr>
                            </m:ctrlPr>
                          </m:sSupPr>
                          <m:e>
                            <m:r>
                              <a:rPr lang="en-US" sz="1600" b="0" i="1">
                                <a:latin typeface="Cambria Math" panose="02040503050406030204" pitchFamily="18" charset="0"/>
                              </a:rPr>
                              <m:t>𝑥</m:t>
                            </m:r>
                          </m:e>
                          <m:sup>
                            <m:r>
                              <a:rPr lang="en-US" sz="1600" b="0" i="1">
                                <a:latin typeface="Cambria Math" panose="02040503050406030204" pitchFamily="18" charset="0"/>
                              </a:rPr>
                              <m:t>3</m:t>
                            </m:r>
                          </m:sup>
                        </m:sSup>
                        <m:r>
                          <a:rPr lang="en-US" sz="1600" b="0" i="1">
                            <a:latin typeface="Cambria Math" panose="02040503050406030204" pitchFamily="18" charset="0"/>
                          </a:rPr>
                          <m:t>𝑑𝑥</m:t>
                        </m:r>
                      </m:e>
                    </m:nary>
                    <m:r>
                      <a:rPr lang="en-US" sz="1600" b="0" i="1">
                        <a:latin typeface="Cambria Math" panose="02040503050406030204" pitchFamily="18" charset="0"/>
                      </a:rPr>
                      <m:t>=</m:t>
                    </m:r>
                    <m:sSubSup>
                      <m:sSubSupPr>
                        <m:ctrlPr>
                          <a:rPr lang="en-US" sz="1600" b="0" i="1">
                            <a:latin typeface="Cambria Math" panose="02040503050406030204" pitchFamily="18" charset="0"/>
                          </a:rPr>
                        </m:ctrlPr>
                      </m:sSubSupPr>
                      <m:e>
                        <m:d>
                          <m:dPr>
                            <m:ctrlPr>
                              <a:rPr lang="en-US" sz="1600" b="0" i="1">
                                <a:latin typeface="Cambria Math" panose="02040503050406030204" pitchFamily="18" charset="0"/>
                              </a:rPr>
                            </m:ctrlPr>
                          </m:dPr>
                          <m:e>
                            <m:f>
                              <m:fPr>
                                <m:ctrlPr>
                                  <a:rPr lang="en-US" sz="1600" b="0" i="1">
                                    <a:latin typeface="Cambria Math" panose="02040503050406030204" pitchFamily="18" charset="0"/>
                                  </a:rPr>
                                </m:ctrlPr>
                              </m:fPr>
                              <m:num>
                                <m:r>
                                  <a:rPr lang="en-US" sz="1600" b="0" i="1">
                                    <a:latin typeface="Cambria Math" panose="02040503050406030204" pitchFamily="18" charset="0"/>
                                  </a:rPr>
                                  <m:t>1</m:t>
                                </m:r>
                              </m:num>
                              <m:den>
                                <m:r>
                                  <a:rPr lang="en-US" sz="1600" b="0" i="1">
                                    <a:latin typeface="Cambria Math" panose="02040503050406030204" pitchFamily="18" charset="0"/>
                                  </a:rPr>
                                  <m:t>4</m:t>
                                </m:r>
                              </m:den>
                            </m:f>
                            <m:sSup>
                              <m:sSupPr>
                                <m:ctrlPr>
                                  <a:rPr lang="en-US" sz="1600" b="0" i="1">
                                    <a:latin typeface="Cambria Math" panose="02040503050406030204" pitchFamily="18" charset="0"/>
                                  </a:rPr>
                                </m:ctrlPr>
                              </m:sSupPr>
                              <m:e>
                                <m:r>
                                  <a:rPr lang="en-US" sz="1600" b="0" i="1">
                                    <a:latin typeface="Cambria Math" panose="02040503050406030204" pitchFamily="18" charset="0"/>
                                  </a:rPr>
                                  <m:t>𝑥</m:t>
                                </m:r>
                              </m:e>
                              <m:sup>
                                <m:r>
                                  <a:rPr lang="en-US" sz="1600" b="0" i="1">
                                    <a:latin typeface="Cambria Math" panose="02040503050406030204" pitchFamily="18" charset="0"/>
                                  </a:rPr>
                                  <m:t>4</m:t>
                                </m:r>
                              </m:sup>
                            </m:sSup>
                          </m:e>
                        </m:d>
                      </m:e>
                      <m:sub>
                        <m:r>
                          <a:rPr lang="en-US" sz="1600" b="0" i="1">
                            <a:latin typeface="Cambria Math" panose="02040503050406030204" pitchFamily="18" charset="0"/>
                          </a:rPr>
                          <m:t>1</m:t>
                        </m:r>
                      </m:sub>
                      <m:sup>
                        <m:r>
                          <a:rPr lang="en-US" sz="1600" b="0" i="1">
                            <a:latin typeface="Cambria Math" panose="02040503050406030204" pitchFamily="18" charset="0"/>
                          </a:rPr>
                          <m:t>8</m:t>
                        </m:r>
                      </m:sup>
                    </m:sSubSup>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rPr>
                          <m:t>1</m:t>
                        </m:r>
                      </m:num>
                      <m:den>
                        <m:r>
                          <a:rPr lang="en-US" sz="1600" b="0" i="1">
                            <a:latin typeface="Cambria Math" panose="02040503050406030204" pitchFamily="18" charset="0"/>
                          </a:rPr>
                          <m:t>4</m:t>
                        </m:r>
                      </m:den>
                    </m:f>
                    <m:sSubSup>
                      <m:sSubSupPr>
                        <m:ctrlPr>
                          <a:rPr lang="en-US" sz="1600" b="0" i="1">
                            <a:latin typeface="Cambria Math" panose="02040503050406030204" pitchFamily="18" charset="0"/>
                          </a:rPr>
                        </m:ctrlPr>
                      </m:sSubSupPr>
                      <m:e>
                        <m:d>
                          <m:dPr>
                            <m:ctrlPr>
                              <a:rPr lang="en-US" sz="1600" b="0" i="1">
                                <a:latin typeface="Cambria Math" panose="02040503050406030204" pitchFamily="18" charset="0"/>
                              </a:rPr>
                            </m:ctrlPr>
                          </m:dPr>
                          <m:e>
                            <m:sSup>
                              <m:sSupPr>
                                <m:ctrlPr>
                                  <a:rPr lang="en-US" sz="1600" b="0" i="1">
                                    <a:latin typeface="Cambria Math" panose="02040503050406030204" pitchFamily="18" charset="0"/>
                                  </a:rPr>
                                </m:ctrlPr>
                              </m:sSupPr>
                              <m:e>
                                <m:r>
                                  <a:rPr lang="en-US" sz="1600" b="0" i="1">
                                    <a:latin typeface="Cambria Math" panose="02040503050406030204" pitchFamily="18" charset="0"/>
                                  </a:rPr>
                                  <m:t>𝑥</m:t>
                                </m:r>
                              </m:e>
                              <m:sup>
                                <m:r>
                                  <a:rPr lang="en-US" sz="1600" b="0" i="1">
                                    <a:latin typeface="Cambria Math" panose="02040503050406030204" pitchFamily="18" charset="0"/>
                                  </a:rPr>
                                  <m:t>4</m:t>
                                </m:r>
                              </m:sup>
                            </m:sSup>
                          </m:e>
                        </m:d>
                        <m:r>
                          <a:rPr lang="en-US" sz="1600" b="0" i="1">
                            <a:latin typeface="Cambria Math" panose="02040503050406030204" pitchFamily="18" charset="0"/>
                          </a:rPr>
                          <m:t>|</m:t>
                        </m:r>
                      </m:e>
                      <m:sub>
                        <m:r>
                          <a:rPr lang="en-US" sz="1600" b="0" i="1">
                            <a:latin typeface="Cambria Math" panose="02040503050406030204" pitchFamily="18" charset="0"/>
                          </a:rPr>
                          <m:t>1</m:t>
                        </m:r>
                      </m:sub>
                      <m:sup>
                        <m:r>
                          <a:rPr lang="en-US" sz="1600" b="0" i="1">
                            <a:latin typeface="Cambria Math" panose="02040503050406030204" pitchFamily="18" charset="0"/>
                          </a:rPr>
                          <m:t>8</m:t>
                        </m:r>
                      </m:sup>
                    </m:sSubSup>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rPr>
                          <m:t>1</m:t>
                        </m:r>
                      </m:num>
                      <m:den>
                        <m:r>
                          <a:rPr lang="en-US" sz="1600" b="0" i="1">
                            <a:latin typeface="Cambria Math" panose="02040503050406030204" pitchFamily="18" charset="0"/>
                          </a:rPr>
                          <m:t>4</m:t>
                        </m:r>
                      </m:den>
                    </m:f>
                    <m:d>
                      <m:dPr>
                        <m:ctrlPr>
                          <a:rPr lang="en-US" sz="1600" b="0" i="1">
                            <a:latin typeface="Cambria Math" panose="02040503050406030204" pitchFamily="18" charset="0"/>
                          </a:rPr>
                        </m:ctrlPr>
                      </m:dPr>
                      <m:e>
                        <m:sSup>
                          <m:sSupPr>
                            <m:ctrlPr>
                              <a:rPr lang="en-US" sz="1600" b="0" i="1">
                                <a:latin typeface="Cambria Math" panose="02040503050406030204" pitchFamily="18" charset="0"/>
                              </a:rPr>
                            </m:ctrlPr>
                          </m:sSupPr>
                          <m:e>
                            <m:r>
                              <a:rPr lang="en-US" sz="1600" b="0" i="1">
                                <a:latin typeface="Cambria Math" panose="02040503050406030204" pitchFamily="18" charset="0"/>
                              </a:rPr>
                              <m:t>8</m:t>
                            </m:r>
                          </m:e>
                          <m:sup>
                            <m:r>
                              <a:rPr lang="en-US" sz="1600" b="0" i="1">
                                <a:latin typeface="Cambria Math" panose="02040503050406030204" pitchFamily="18" charset="0"/>
                              </a:rPr>
                              <m:t>4</m:t>
                            </m:r>
                          </m:sup>
                        </m:sSup>
                        <m:r>
                          <a:rPr lang="en-US" sz="1600" b="0" i="1">
                            <a:latin typeface="Cambria Math" panose="02040503050406030204" pitchFamily="18" charset="0"/>
                          </a:rPr>
                          <m:t>−</m:t>
                        </m:r>
                        <m:sSup>
                          <m:sSupPr>
                            <m:ctrlPr>
                              <a:rPr lang="en-US" sz="1600" b="0" i="1">
                                <a:latin typeface="Cambria Math" panose="02040503050406030204" pitchFamily="18" charset="0"/>
                              </a:rPr>
                            </m:ctrlPr>
                          </m:sSupPr>
                          <m:e>
                            <m:r>
                              <a:rPr lang="en-US" sz="1600" b="0" i="1">
                                <a:latin typeface="Cambria Math" panose="02040503050406030204" pitchFamily="18" charset="0"/>
                              </a:rPr>
                              <m:t>1</m:t>
                            </m:r>
                          </m:e>
                          <m:sup>
                            <m:r>
                              <a:rPr lang="en-US" sz="1600" b="0" i="1">
                                <a:latin typeface="Cambria Math" panose="02040503050406030204" pitchFamily="18" charset="0"/>
                              </a:rPr>
                              <m:t>4</m:t>
                            </m:r>
                          </m:sup>
                        </m:sSup>
                      </m:e>
                    </m:d>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rPr>
                          <m:t>1</m:t>
                        </m:r>
                      </m:num>
                      <m:den>
                        <m:r>
                          <a:rPr lang="en-US" sz="1600" b="0" i="1">
                            <a:latin typeface="Cambria Math" panose="02040503050406030204" pitchFamily="18" charset="0"/>
                          </a:rPr>
                          <m:t>4</m:t>
                        </m:r>
                      </m:den>
                    </m:f>
                    <m:d>
                      <m:dPr>
                        <m:ctrlPr>
                          <a:rPr lang="en-US" sz="1600" b="0" i="1">
                            <a:latin typeface="Cambria Math" panose="02040503050406030204" pitchFamily="18" charset="0"/>
                          </a:rPr>
                        </m:ctrlPr>
                      </m:dPr>
                      <m:e>
                        <m:r>
                          <a:rPr lang="en-US" sz="1600" b="0" i="1">
                            <a:latin typeface="Cambria Math" panose="02040503050406030204" pitchFamily="18" charset="0"/>
                          </a:rPr>
                          <m:t>4096−1</m:t>
                        </m:r>
                      </m:e>
                    </m:d>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rPr>
                          <m:t>1</m:t>
                        </m:r>
                      </m:num>
                      <m:den>
                        <m:r>
                          <a:rPr lang="en-US" sz="1600" b="0" i="1">
                            <a:latin typeface="Cambria Math" panose="02040503050406030204" pitchFamily="18" charset="0"/>
                          </a:rPr>
                          <m:t>4</m:t>
                        </m:r>
                      </m:den>
                    </m:f>
                    <m:d>
                      <m:dPr>
                        <m:ctrlPr>
                          <a:rPr lang="en-US" sz="1600" b="0" i="1">
                            <a:latin typeface="Cambria Math" panose="02040503050406030204" pitchFamily="18" charset="0"/>
                          </a:rPr>
                        </m:ctrlPr>
                      </m:dPr>
                      <m:e>
                        <m:r>
                          <a:rPr lang="en-US" sz="1600" b="0" i="1">
                            <a:latin typeface="Cambria Math" panose="02040503050406030204" pitchFamily="18" charset="0"/>
                          </a:rPr>
                          <m:t>4095</m:t>
                        </m:r>
                      </m:e>
                    </m:d>
                    <m:r>
                      <a:rPr lang="en-US" sz="1600" b="0" i="1">
                        <a:latin typeface="Cambria Math" panose="02040503050406030204" pitchFamily="18" charset="0"/>
                      </a:rPr>
                      <m:t>=1023.75</m:t>
                    </m:r>
                  </m:oMath>
                </m:oMathPara>
              </a14:m>
              <a:endParaRPr lang="en-US" sz="1600"/>
            </a:p>
          </xdr:txBody>
        </xdr:sp>
      </mc:Choice>
      <mc:Fallback xmlns="">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638300" y="29546550"/>
              <a:ext cx="7282828" cy="63389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600" b="0" i="0">
                  <a:latin typeface="Cambria Math" panose="02040503050406030204" pitchFamily="18" charset="0"/>
                </a:rPr>
                <a:t>∫_1^8▒〖𝑥^3 𝑑𝑥〗=(1/4 𝑥^4 )_1^8=1/4 〖(𝑥^4 )|〗_1^8=1/4 (8^4−1^4 )=1/4 (4096−1)=1/4 (4095)=1023.75</a:t>
              </a:r>
              <a:endParaRPr lang="en-US" sz="1600"/>
            </a:p>
          </xdr:txBody>
        </xdr:sp>
      </mc:Fallback>
    </mc:AlternateContent>
    <xdr:clientData/>
  </xdr:oneCellAnchor>
  <xdr:twoCellAnchor editAs="oneCell">
    <xdr:from>
      <xdr:col>3</xdr:col>
      <xdr:colOff>95250</xdr:colOff>
      <xdr:row>126</xdr:row>
      <xdr:rowOff>124720</xdr:rowOff>
    </xdr:from>
    <xdr:to>
      <xdr:col>6</xdr:col>
      <xdr:colOff>485117</xdr:colOff>
      <xdr:row>132</xdr:row>
      <xdr:rowOff>47397</xdr:rowOff>
    </xdr:to>
    <xdr:pic>
      <xdr:nvPicPr>
        <xdr:cNvPr id="33" name="Picture 32">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4"/>
        <a:stretch>
          <a:fillRect/>
        </a:stretch>
      </xdr:blipFill>
      <xdr:spPr>
        <a:xfrm>
          <a:off x="2228850" y="28804495"/>
          <a:ext cx="3085442" cy="1065677"/>
        </a:xfrm>
        <a:prstGeom prst="rect">
          <a:avLst/>
        </a:prstGeom>
      </xdr:spPr>
    </xdr:pic>
    <xdr:clientData/>
  </xdr:twoCellAnchor>
  <xdr:oneCellAnchor>
    <xdr:from>
      <xdr:col>5</xdr:col>
      <xdr:colOff>47625</xdr:colOff>
      <xdr:row>135</xdr:row>
      <xdr:rowOff>85725</xdr:rowOff>
    </xdr:from>
    <xdr:ext cx="725968" cy="1106650"/>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3857625" y="30480000"/>
              <a:ext cx="725968" cy="110665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𝑦</m:t>
                    </m:r>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3</m:t>
                        </m:r>
                      </m:sup>
                    </m:sSup>
                  </m:oMath>
                </m:oMathPara>
              </a14:m>
              <a:endParaRPr lang="en-US" sz="1400" b="0"/>
            </a:p>
            <a:p>
              <a:pPr/>
              <a14:m>
                <m:oMathPara xmlns:m="http://schemas.openxmlformats.org/officeDocument/2006/math">
                  <m:oMathParaPr>
                    <m:jc m:val="centerGroup"/>
                  </m:oMathParaPr>
                  <m:oMath xmlns:m="http://schemas.openxmlformats.org/officeDocument/2006/math">
                    <m:sSup>
                      <m:sSupPr>
                        <m:ctrlPr>
                          <a:rPr lang="en-US" sz="1400" b="0" i="1">
                            <a:latin typeface="Cambria Math" panose="02040503050406030204" pitchFamily="18" charset="0"/>
                          </a:rPr>
                        </m:ctrlPr>
                      </m:sSupPr>
                      <m:e>
                        <m:r>
                          <a:rPr lang="en-US" sz="1400" b="0" i="1">
                            <a:latin typeface="Cambria Math" panose="02040503050406030204" pitchFamily="18" charset="0"/>
                          </a:rPr>
                          <m:t>𝑦</m:t>
                        </m:r>
                      </m:e>
                      <m:sup>
                        <m:r>
                          <a:rPr lang="en-US" sz="1400" b="0" i="1">
                            <a:latin typeface="Cambria Math" panose="02040503050406030204" pitchFamily="18" charset="0"/>
                          </a:rPr>
                          <m:t>′</m:t>
                        </m:r>
                      </m:sup>
                    </m:sSup>
                    <m:r>
                      <a:rPr lang="en-US" sz="1400" b="0" i="1">
                        <a:latin typeface="Cambria Math" panose="02040503050406030204" pitchFamily="18" charset="0"/>
                      </a:rPr>
                      <m:t>=3</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2</m:t>
                        </m:r>
                      </m:sup>
                    </m:sSup>
                  </m:oMath>
                </m:oMathPara>
              </a14:m>
              <a:endParaRPr lang="en-US" sz="1400" b="0"/>
            </a:p>
            <a:p>
              <a:pPr/>
              <a14:m>
                <m:oMathPara xmlns:m="http://schemas.openxmlformats.org/officeDocument/2006/math">
                  <m:oMathParaPr>
                    <m:jc m:val="centerGroup"/>
                  </m:oMathParaPr>
                  <m:oMath xmlns:m="http://schemas.openxmlformats.org/officeDocument/2006/math">
                    <m:sSup>
                      <m:sSupPr>
                        <m:ctrlPr>
                          <a:rPr lang="en-US" sz="1400" b="0" i="1">
                            <a:latin typeface="Cambria Math" panose="02040503050406030204" pitchFamily="18" charset="0"/>
                          </a:rPr>
                        </m:ctrlPr>
                      </m:sSupPr>
                      <m:e>
                        <m:r>
                          <a:rPr lang="en-US" sz="1400" b="0" i="1">
                            <a:latin typeface="Cambria Math" panose="02040503050406030204" pitchFamily="18" charset="0"/>
                          </a:rPr>
                          <m:t>𝑦</m:t>
                        </m:r>
                      </m:e>
                      <m:sup>
                        <m:r>
                          <a:rPr lang="en-US" sz="1400" b="0" i="1">
                            <a:latin typeface="Cambria Math" panose="02040503050406030204" pitchFamily="18" charset="0"/>
                          </a:rPr>
                          <m:t>′′</m:t>
                        </m:r>
                      </m:sup>
                    </m:sSup>
                    <m:r>
                      <a:rPr lang="en-US" sz="1400" b="0" i="1">
                        <a:latin typeface="Cambria Math" panose="02040503050406030204" pitchFamily="18" charset="0"/>
                      </a:rPr>
                      <m:t>=6</m:t>
                    </m:r>
                    <m:r>
                      <a:rPr lang="en-US" sz="1400" b="0" i="1">
                        <a:latin typeface="Cambria Math" panose="02040503050406030204" pitchFamily="18" charset="0"/>
                      </a:rPr>
                      <m:t>𝑥</m:t>
                    </m:r>
                  </m:oMath>
                </m:oMathPara>
              </a14:m>
              <a:endParaRPr lang="en-US" sz="1400" b="0"/>
            </a:p>
            <a:p>
              <a:pPr/>
              <a14:m>
                <m:oMathPara xmlns:m="http://schemas.openxmlformats.org/officeDocument/2006/math">
                  <m:oMathParaPr>
                    <m:jc m:val="centerGroup"/>
                  </m:oMathParaPr>
                  <m:oMath xmlns:m="http://schemas.openxmlformats.org/officeDocument/2006/math">
                    <m:sSup>
                      <m:sSupPr>
                        <m:ctrlPr>
                          <a:rPr lang="en-US" sz="1400" b="0" i="1">
                            <a:latin typeface="Cambria Math" panose="02040503050406030204" pitchFamily="18" charset="0"/>
                          </a:rPr>
                        </m:ctrlPr>
                      </m:sSupPr>
                      <m:e>
                        <m:r>
                          <a:rPr lang="en-US" sz="1400" b="0" i="1">
                            <a:latin typeface="Cambria Math" panose="02040503050406030204" pitchFamily="18" charset="0"/>
                          </a:rPr>
                          <m:t>𝑦</m:t>
                        </m:r>
                      </m:e>
                      <m:sup>
                        <m:r>
                          <a:rPr lang="en-US" sz="1400" b="0" i="1">
                            <a:latin typeface="Cambria Math" panose="02040503050406030204" pitchFamily="18" charset="0"/>
                          </a:rPr>
                          <m:t>′′′</m:t>
                        </m:r>
                      </m:sup>
                    </m:sSup>
                    <m:r>
                      <a:rPr lang="en-US" sz="1400" b="0" i="1">
                        <a:latin typeface="Cambria Math" panose="02040503050406030204" pitchFamily="18" charset="0"/>
                      </a:rPr>
                      <m:t>=6</m:t>
                    </m:r>
                  </m:oMath>
                </m:oMathPara>
              </a14:m>
              <a:endParaRPr lang="en-US" sz="1400" b="0"/>
            </a:p>
            <a:p>
              <a:pPr/>
              <a14:m>
                <m:oMathPara xmlns:m="http://schemas.openxmlformats.org/officeDocument/2006/math">
                  <m:oMathParaPr>
                    <m:jc m:val="centerGroup"/>
                  </m:oMathParaPr>
                  <m:oMath xmlns:m="http://schemas.openxmlformats.org/officeDocument/2006/math">
                    <m:sSup>
                      <m:sSupPr>
                        <m:ctrlPr>
                          <a:rPr lang="en-US" sz="1400" b="0" i="1">
                            <a:latin typeface="Cambria Math" panose="02040503050406030204" pitchFamily="18" charset="0"/>
                          </a:rPr>
                        </m:ctrlPr>
                      </m:sSupPr>
                      <m:e>
                        <m:r>
                          <a:rPr lang="en-US" sz="1400" b="0" i="1">
                            <a:latin typeface="Cambria Math" panose="02040503050406030204" pitchFamily="18" charset="0"/>
                          </a:rPr>
                          <m:t>𝑦</m:t>
                        </m:r>
                      </m:e>
                      <m:sup>
                        <m:r>
                          <a:rPr lang="en-US" sz="1400" b="0" i="1">
                            <a:latin typeface="Cambria Math" panose="02040503050406030204" pitchFamily="18" charset="0"/>
                          </a:rPr>
                          <m:t>4</m:t>
                        </m:r>
                      </m:sup>
                    </m:sSup>
                    <m:r>
                      <a:rPr lang="en-US" sz="1400" b="0" i="1">
                        <a:latin typeface="Cambria Math" panose="02040503050406030204" pitchFamily="18" charset="0"/>
                      </a:rPr>
                      <m:t>=0</m:t>
                    </m:r>
                  </m:oMath>
                </m:oMathPara>
              </a14:m>
              <a:endParaRPr lang="en-US" sz="1400"/>
            </a:p>
          </xdr:txBody>
        </xdr:sp>
      </mc:Choice>
      <mc:Fallback xmlns="">
        <xdr:sp macro="" textlink="">
          <xdr:nvSpPr>
            <xdr:cNvPr id="34" name="TextBox 33">
              <a:extLst>
                <a:ext uri="{FF2B5EF4-FFF2-40B4-BE49-F238E27FC236}">
                  <a16:creationId xmlns:a16="http://schemas.microsoft.com/office/drawing/2014/main" id="{9C4055B3-E0E7-4B6F-8347-271916E3E100}"/>
                </a:ext>
              </a:extLst>
            </xdr:cNvPr>
            <xdr:cNvSpPr txBox="1"/>
          </xdr:nvSpPr>
          <xdr:spPr>
            <a:xfrm>
              <a:off x="3857625" y="30480000"/>
              <a:ext cx="725968" cy="110665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𝑦=𝑥^3</a:t>
              </a:r>
              <a:endParaRPr lang="en-US" sz="1400" b="0"/>
            </a:p>
            <a:p>
              <a:r>
                <a:rPr lang="en-US" sz="1400" b="0" i="0">
                  <a:latin typeface="Cambria Math" panose="02040503050406030204" pitchFamily="18" charset="0"/>
                </a:rPr>
                <a:t>𝑦^′=3𝑥^2</a:t>
              </a:r>
              <a:endParaRPr lang="en-US" sz="1400" b="0"/>
            </a:p>
            <a:p>
              <a:r>
                <a:rPr lang="en-US" sz="1400" b="0" i="0">
                  <a:latin typeface="Cambria Math" panose="02040503050406030204" pitchFamily="18" charset="0"/>
                </a:rPr>
                <a:t>𝑦^′′=6𝑥</a:t>
              </a:r>
              <a:endParaRPr lang="en-US" sz="1400" b="0"/>
            </a:p>
            <a:p>
              <a:r>
                <a:rPr lang="en-US" sz="1400" b="0" i="0">
                  <a:latin typeface="Cambria Math" panose="02040503050406030204" pitchFamily="18" charset="0"/>
                </a:rPr>
                <a:t>𝑦^′′′=6</a:t>
              </a:r>
              <a:endParaRPr lang="en-US" sz="1400" b="0"/>
            </a:p>
            <a:p>
              <a:r>
                <a:rPr lang="en-US" sz="1400" b="0" i="0">
                  <a:latin typeface="Cambria Math" panose="02040503050406030204" pitchFamily="18" charset="0"/>
                </a:rPr>
                <a:t>𝑦^4=0</a:t>
              </a:r>
              <a:endParaRPr lang="en-US" sz="1400"/>
            </a:p>
          </xdr:txBody>
        </xdr:sp>
      </mc:Fallback>
    </mc:AlternateContent>
    <xdr:clientData/>
  </xdr:oneCellAnchor>
  <xdr:oneCellAnchor>
    <xdr:from>
      <xdr:col>2</xdr:col>
      <xdr:colOff>171450</xdr:colOff>
      <xdr:row>54</xdr:row>
      <xdr:rowOff>171450</xdr:rowOff>
    </xdr:from>
    <xdr:ext cx="195310" cy="172227"/>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695450" y="12182475"/>
              <a:ext cx="1953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18" name="TextBox 17">
              <a:extLst>
                <a:ext uri="{FF2B5EF4-FFF2-40B4-BE49-F238E27FC236}">
                  <a16:creationId xmlns:a16="http://schemas.microsoft.com/office/drawing/2014/main" id="{DE484B02-6CD4-4734-8544-7EDB1C18A485}"/>
                </a:ext>
              </a:extLst>
            </xdr:cNvPr>
            <xdr:cNvSpPr txBox="1"/>
          </xdr:nvSpPr>
          <xdr:spPr>
            <a:xfrm>
              <a:off x="1695450" y="12182475"/>
              <a:ext cx="1953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100"/>
            </a:p>
          </xdr:txBody>
        </xdr:sp>
      </mc:Fallback>
    </mc:AlternateContent>
    <xdr:clientData/>
  </xdr:oneCellAnchor>
  <xdr:oneCellAnchor>
    <xdr:from>
      <xdr:col>3</xdr:col>
      <xdr:colOff>257175</xdr:colOff>
      <xdr:row>54</xdr:row>
      <xdr:rowOff>171450</xdr:rowOff>
    </xdr:from>
    <xdr:ext cx="115224" cy="172227"/>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2390775" y="12182475"/>
              <a:ext cx="11522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𝑛</m:t>
                    </m:r>
                  </m:oMath>
                </m:oMathPara>
              </a14:m>
              <a:endParaRPr lang="en-US" sz="1100"/>
            </a:p>
          </xdr:txBody>
        </xdr:sp>
      </mc:Choice>
      <mc:Fallback xmlns="">
        <xdr:sp macro="" textlink="">
          <xdr:nvSpPr>
            <xdr:cNvPr id="19" name="TextBox 18">
              <a:extLst>
                <a:ext uri="{FF2B5EF4-FFF2-40B4-BE49-F238E27FC236}">
                  <a16:creationId xmlns:a16="http://schemas.microsoft.com/office/drawing/2014/main" id="{0FAAED05-91A0-4567-A4BE-7A759ECDF033}"/>
                </a:ext>
              </a:extLst>
            </xdr:cNvPr>
            <xdr:cNvSpPr txBox="1"/>
          </xdr:nvSpPr>
          <xdr:spPr>
            <a:xfrm>
              <a:off x="2390775" y="12182475"/>
              <a:ext cx="11522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𝑛</a:t>
              </a:r>
              <a:endParaRPr lang="en-US" sz="1100"/>
            </a:p>
          </xdr:txBody>
        </xdr:sp>
      </mc:Fallback>
    </mc:AlternateContent>
    <xdr:clientData/>
  </xdr:oneCellAnchor>
  <xdr:oneCellAnchor>
    <xdr:from>
      <xdr:col>4</xdr:col>
      <xdr:colOff>257175</xdr:colOff>
      <xdr:row>54</xdr:row>
      <xdr:rowOff>180975</xdr:rowOff>
    </xdr:from>
    <xdr:ext cx="526426" cy="172227"/>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3048000" y="12192000"/>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20" name="TextBox 19">
              <a:extLst>
                <a:ext uri="{FF2B5EF4-FFF2-40B4-BE49-F238E27FC236}">
                  <a16:creationId xmlns:a16="http://schemas.microsoft.com/office/drawing/2014/main" id="{54BFC158-09EF-4B61-8024-41B697931376}"/>
                </a:ext>
              </a:extLst>
            </xdr:cNvPr>
            <xdr:cNvSpPr txBox="1"/>
          </xdr:nvSpPr>
          <xdr:spPr>
            <a:xfrm>
              <a:off x="3048000" y="12192000"/>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𝑎+𝑛Δ𝑥</a:t>
              </a:r>
              <a:endParaRPr lang="en-US" sz="1100"/>
            </a:p>
          </xdr:txBody>
        </xdr:sp>
      </mc:Fallback>
    </mc:AlternateContent>
    <xdr:clientData/>
  </xdr:oneCellAnchor>
  <xdr:oneCellAnchor>
    <xdr:from>
      <xdr:col>5</xdr:col>
      <xdr:colOff>152400</xdr:colOff>
      <xdr:row>54</xdr:row>
      <xdr:rowOff>180975</xdr:rowOff>
    </xdr:from>
    <xdr:ext cx="725199" cy="172227"/>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3962400" y="12192000"/>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21" name="TextBox 20">
              <a:extLst>
                <a:ext uri="{FF2B5EF4-FFF2-40B4-BE49-F238E27FC236}">
                  <a16:creationId xmlns:a16="http://schemas.microsoft.com/office/drawing/2014/main" id="{CEE1EA2F-BCE6-46D5-8CA1-952BBBCC4C2A}"/>
                </a:ext>
              </a:extLst>
            </xdr:cNvPr>
            <xdr:cNvSpPr txBox="1"/>
          </xdr:nvSpPr>
          <xdr:spPr>
            <a:xfrm>
              <a:off x="3962400" y="12192000"/>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𝑓(𝑎+𝑛Δ𝑥)</a:t>
              </a:r>
              <a:endParaRPr lang="en-US" sz="1100"/>
            </a:p>
          </xdr:txBody>
        </xdr:sp>
      </mc:Fallback>
    </mc:AlternateContent>
    <xdr:clientData/>
  </xdr:oneCellAnchor>
  <xdr:oneCellAnchor>
    <xdr:from>
      <xdr:col>7</xdr:col>
      <xdr:colOff>123825</xdr:colOff>
      <xdr:row>54</xdr:row>
      <xdr:rowOff>209550</xdr:rowOff>
    </xdr:from>
    <xdr:ext cx="526426" cy="172227"/>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6115050" y="12220575"/>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35" name="TextBox 34">
              <a:extLst>
                <a:ext uri="{FF2B5EF4-FFF2-40B4-BE49-F238E27FC236}">
                  <a16:creationId xmlns:a16="http://schemas.microsoft.com/office/drawing/2014/main" id="{314AA53F-6EB7-4CD7-9D01-3B1DE7F77D11}"/>
                </a:ext>
              </a:extLst>
            </xdr:cNvPr>
            <xdr:cNvSpPr txBox="1"/>
          </xdr:nvSpPr>
          <xdr:spPr>
            <a:xfrm>
              <a:off x="6115050" y="12220575"/>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𝑎+𝑛Δ𝑥</a:t>
              </a:r>
              <a:endParaRPr lang="en-US" sz="1100"/>
            </a:p>
          </xdr:txBody>
        </xdr:sp>
      </mc:Fallback>
    </mc:AlternateContent>
    <xdr:clientData/>
  </xdr:oneCellAnchor>
  <xdr:oneCellAnchor>
    <xdr:from>
      <xdr:col>8</xdr:col>
      <xdr:colOff>238125</xdr:colOff>
      <xdr:row>54</xdr:row>
      <xdr:rowOff>209550</xdr:rowOff>
    </xdr:from>
    <xdr:ext cx="725199" cy="172227"/>
    <mc:AlternateContent xmlns:mc="http://schemas.openxmlformats.org/markup-compatibility/2006" xmlns:a14="http://schemas.microsoft.com/office/drawing/2010/main">
      <mc:Choice Requires="a14">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7029450" y="12220575"/>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36" name="TextBox 35">
              <a:extLst>
                <a:ext uri="{FF2B5EF4-FFF2-40B4-BE49-F238E27FC236}">
                  <a16:creationId xmlns:a16="http://schemas.microsoft.com/office/drawing/2014/main" id="{310691E1-9C7E-47CD-92EE-99E483EB92DA}"/>
                </a:ext>
              </a:extLst>
            </xdr:cNvPr>
            <xdr:cNvSpPr txBox="1"/>
          </xdr:nvSpPr>
          <xdr:spPr>
            <a:xfrm>
              <a:off x="7029450" y="12220575"/>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𝑓(𝑎+𝑛Δ𝑥)</a:t>
              </a:r>
              <a:endParaRPr lang="en-US" sz="1100"/>
            </a:p>
          </xdr:txBody>
        </xdr:sp>
      </mc:Fallback>
    </mc:AlternateContent>
    <xdr:clientData/>
  </xdr:oneCellAnchor>
  <xdr:oneCellAnchor>
    <xdr:from>
      <xdr:col>10</xdr:col>
      <xdr:colOff>133350</xdr:colOff>
      <xdr:row>54</xdr:row>
      <xdr:rowOff>200025</xdr:rowOff>
    </xdr:from>
    <xdr:ext cx="526426" cy="172227"/>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8734425" y="12211050"/>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37" name="TextBox 36">
              <a:extLst>
                <a:ext uri="{FF2B5EF4-FFF2-40B4-BE49-F238E27FC236}">
                  <a16:creationId xmlns:a16="http://schemas.microsoft.com/office/drawing/2014/main" id="{16E8F0E7-7507-4EA8-9CBE-229B451B586B}"/>
                </a:ext>
              </a:extLst>
            </xdr:cNvPr>
            <xdr:cNvSpPr txBox="1"/>
          </xdr:nvSpPr>
          <xdr:spPr>
            <a:xfrm>
              <a:off x="8734425" y="12211050"/>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𝑎+𝑛Δ𝑥</a:t>
              </a:r>
              <a:endParaRPr lang="en-US" sz="1100"/>
            </a:p>
          </xdr:txBody>
        </xdr:sp>
      </mc:Fallback>
    </mc:AlternateContent>
    <xdr:clientData/>
  </xdr:oneCellAnchor>
  <xdr:oneCellAnchor>
    <xdr:from>
      <xdr:col>11</xdr:col>
      <xdr:colOff>152400</xdr:colOff>
      <xdr:row>54</xdr:row>
      <xdr:rowOff>209550</xdr:rowOff>
    </xdr:from>
    <xdr:ext cx="725199" cy="172227"/>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9553575" y="12220575"/>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38" name="TextBox 37">
              <a:extLst>
                <a:ext uri="{FF2B5EF4-FFF2-40B4-BE49-F238E27FC236}">
                  <a16:creationId xmlns:a16="http://schemas.microsoft.com/office/drawing/2014/main" id="{C4705B95-0C54-45E1-92D1-E8A3BD7D3C15}"/>
                </a:ext>
              </a:extLst>
            </xdr:cNvPr>
            <xdr:cNvSpPr txBox="1"/>
          </xdr:nvSpPr>
          <xdr:spPr>
            <a:xfrm>
              <a:off x="9553575" y="12220575"/>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𝑓(𝑎+𝑛Δ𝑥)</a:t>
              </a:r>
              <a:endParaRPr lang="en-US" sz="1100"/>
            </a:p>
          </xdr:txBody>
        </xdr:sp>
      </mc:Fallback>
    </mc:AlternateContent>
    <xdr:clientData/>
  </xdr:oneCellAnchor>
  <xdr:oneCellAnchor>
    <xdr:from>
      <xdr:col>13</xdr:col>
      <xdr:colOff>152400</xdr:colOff>
      <xdr:row>54</xdr:row>
      <xdr:rowOff>228600</xdr:rowOff>
    </xdr:from>
    <xdr:ext cx="526426" cy="172227"/>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11363325" y="12239625"/>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39" name="TextBox 38">
              <a:extLst>
                <a:ext uri="{FF2B5EF4-FFF2-40B4-BE49-F238E27FC236}">
                  <a16:creationId xmlns:a16="http://schemas.microsoft.com/office/drawing/2014/main" id="{FE74C7BB-69FC-44B2-B249-ECFCE39E93D3}"/>
                </a:ext>
              </a:extLst>
            </xdr:cNvPr>
            <xdr:cNvSpPr txBox="1"/>
          </xdr:nvSpPr>
          <xdr:spPr>
            <a:xfrm>
              <a:off x="11363325" y="12239625"/>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𝑎+𝑛Δ𝑥</a:t>
              </a:r>
              <a:endParaRPr lang="en-US" sz="1100"/>
            </a:p>
          </xdr:txBody>
        </xdr:sp>
      </mc:Fallback>
    </mc:AlternateContent>
    <xdr:clientData/>
  </xdr:oneCellAnchor>
  <xdr:oneCellAnchor>
    <xdr:from>
      <xdr:col>14</xdr:col>
      <xdr:colOff>171450</xdr:colOff>
      <xdr:row>54</xdr:row>
      <xdr:rowOff>238125</xdr:rowOff>
    </xdr:from>
    <xdr:ext cx="725199" cy="172227"/>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2182475" y="12249150"/>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40" name="TextBox 39">
              <a:extLst>
                <a:ext uri="{FF2B5EF4-FFF2-40B4-BE49-F238E27FC236}">
                  <a16:creationId xmlns:a16="http://schemas.microsoft.com/office/drawing/2014/main" id="{4C7A96FB-89F9-4625-BC32-D65D4C4A8CC1}"/>
                </a:ext>
              </a:extLst>
            </xdr:cNvPr>
            <xdr:cNvSpPr txBox="1"/>
          </xdr:nvSpPr>
          <xdr:spPr>
            <a:xfrm>
              <a:off x="12182475" y="12249150"/>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𝑓(𝑎+𝑛Δ𝑥)</a:t>
              </a:r>
              <a:endParaRPr lang="en-US" sz="1100"/>
            </a:p>
          </xdr:txBody>
        </xdr:sp>
      </mc:Fallback>
    </mc:AlternateContent>
    <xdr:clientData/>
  </xdr:oneCellAnchor>
  <xdr:oneCellAnchor>
    <xdr:from>
      <xdr:col>16</xdr:col>
      <xdr:colOff>133350</xdr:colOff>
      <xdr:row>54</xdr:row>
      <xdr:rowOff>200025</xdr:rowOff>
    </xdr:from>
    <xdr:ext cx="526426" cy="172227"/>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3954125" y="12211050"/>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41" name="TextBox 40">
              <a:extLst>
                <a:ext uri="{FF2B5EF4-FFF2-40B4-BE49-F238E27FC236}">
                  <a16:creationId xmlns:a16="http://schemas.microsoft.com/office/drawing/2014/main" id="{A9ADE668-70A4-4F49-AB3D-1ABA51641CFD}"/>
                </a:ext>
              </a:extLst>
            </xdr:cNvPr>
            <xdr:cNvSpPr txBox="1"/>
          </xdr:nvSpPr>
          <xdr:spPr>
            <a:xfrm>
              <a:off x="13954125" y="12211050"/>
              <a:ext cx="5264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𝑎+𝑛Δ𝑥</a:t>
              </a:r>
              <a:endParaRPr lang="en-US" sz="1100"/>
            </a:p>
          </xdr:txBody>
        </xdr:sp>
      </mc:Fallback>
    </mc:AlternateContent>
    <xdr:clientData/>
  </xdr:oneCellAnchor>
  <xdr:oneCellAnchor>
    <xdr:from>
      <xdr:col>17</xdr:col>
      <xdr:colOff>152400</xdr:colOff>
      <xdr:row>54</xdr:row>
      <xdr:rowOff>209550</xdr:rowOff>
    </xdr:from>
    <xdr:ext cx="725199" cy="172227"/>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14773275" y="12220575"/>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𝑛</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42" name="TextBox 41">
              <a:extLst>
                <a:ext uri="{FF2B5EF4-FFF2-40B4-BE49-F238E27FC236}">
                  <a16:creationId xmlns:a16="http://schemas.microsoft.com/office/drawing/2014/main" id="{42BD36C1-E64D-4772-9401-2178D2296156}"/>
                </a:ext>
              </a:extLst>
            </xdr:cNvPr>
            <xdr:cNvSpPr txBox="1"/>
          </xdr:nvSpPr>
          <xdr:spPr>
            <a:xfrm>
              <a:off x="14773275" y="12220575"/>
              <a:ext cx="725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𝑓(𝑎+𝑛Δ𝑥)</a:t>
              </a:r>
              <a:endParaRPr lang="en-US" sz="1100"/>
            </a:p>
          </xdr:txBody>
        </xdr:sp>
      </mc:Fallback>
    </mc:AlternateContent>
    <xdr:clientData/>
  </xdr:oneCellAnchor>
  <xdr:oneCellAnchor>
    <xdr:from>
      <xdr:col>2</xdr:col>
      <xdr:colOff>161925</xdr:colOff>
      <xdr:row>60</xdr:row>
      <xdr:rowOff>38100</xdr:rowOff>
    </xdr:from>
    <xdr:ext cx="342594" cy="172227"/>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685925" y="13592175"/>
              <a:ext cx="34259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/2</m:t>
                    </m:r>
                  </m:oMath>
                </m:oMathPara>
              </a14:m>
              <a:endParaRPr lang="en-US" sz="1100"/>
            </a:p>
          </xdr:txBody>
        </xdr:sp>
      </mc:Choice>
      <mc:Fallback xmlns="">
        <xdr:sp macro="" textlink="">
          <xdr:nvSpPr>
            <xdr:cNvPr id="43" name="TextBox 42">
              <a:extLst>
                <a:ext uri="{FF2B5EF4-FFF2-40B4-BE49-F238E27FC236}">
                  <a16:creationId xmlns:a16="http://schemas.microsoft.com/office/drawing/2014/main" id="{AF69B7E7-3D82-48A8-9755-8240E5BDD6C8}"/>
                </a:ext>
              </a:extLst>
            </xdr:cNvPr>
            <xdr:cNvSpPr txBox="1"/>
          </xdr:nvSpPr>
          <xdr:spPr>
            <a:xfrm>
              <a:off x="1685925" y="13592175"/>
              <a:ext cx="34259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Δ𝑥/2</a:t>
              </a:r>
              <a:endParaRPr lang="en-US" sz="1100"/>
            </a:p>
          </xdr:txBody>
        </xdr:sp>
      </mc:Fallback>
    </mc:AlternateContent>
    <xdr:clientData/>
  </xdr:oneCellAnchor>
  <xdr:twoCellAnchor editAs="oneCell">
    <xdr:from>
      <xdr:col>1</xdr:col>
      <xdr:colOff>104775</xdr:colOff>
      <xdr:row>1</xdr:row>
      <xdr:rowOff>28575</xdr:rowOff>
    </xdr:from>
    <xdr:to>
      <xdr:col>6</xdr:col>
      <xdr:colOff>904875</xdr:colOff>
      <xdr:row>6</xdr:row>
      <xdr:rowOff>932913</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5"/>
        <a:stretch>
          <a:fillRect/>
        </a:stretch>
      </xdr:blipFill>
      <xdr:spPr>
        <a:xfrm>
          <a:off x="714375" y="266700"/>
          <a:ext cx="5019675" cy="2333088"/>
        </a:xfrm>
        <a:prstGeom prst="rect">
          <a:avLst/>
        </a:prstGeom>
      </xdr:spPr>
    </xdr:pic>
    <xdr:clientData/>
  </xdr:twoCellAnchor>
  <xdr:twoCellAnchor editAs="oneCell">
    <xdr:from>
      <xdr:col>10</xdr:col>
      <xdr:colOff>85725</xdr:colOff>
      <xdr:row>95</xdr:row>
      <xdr:rowOff>121256</xdr:rowOff>
    </xdr:from>
    <xdr:to>
      <xdr:col>17</xdr:col>
      <xdr:colOff>713315</xdr:colOff>
      <xdr:row>99</xdr:row>
      <xdr:rowOff>180844</xdr:rowOff>
    </xdr:to>
    <xdr:pic>
      <xdr:nvPicPr>
        <xdr:cNvPr id="2" name="Picture 1">
          <a:extLst>
            <a:ext uri="{FF2B5EF4-FFF2-40B4-BE49-F238E27FC236}">
              <a16:creationId xmlns:a16="http://schemas.microsoft.com/office/drawing/2014/main" id="{893F80B7-CEC5-45E0-930C-4162BD384A8D}"/>
            </a:ext>
          </a:extLst>
        </xdr:cNvPr>
        <xdr:cNvPicPr>
          <a:picLocks noChangeAspect="1"/>
        </xdr:cNvPicPr>
      </xdr:nvPicPr>
      <xdr:blipFill>
        <a:blip xmlns:r="http://schemas.openxmlformats.org/officeDocument/2006/relationships" r:embed="rId6"/>
        <a:stretch>
          <a:fillRect/>
        </a:stretch>
      </xdr:blipFill>
      <xdr:spPr>
        <a:xfrm>
          <a:off x="8686800" y="22847906"/>
          <a:ext cx="6647390" cy="821588"/>
        </a:xfrm>
        <a:prstGeom prst="rect">
          <a:avLst/>
        </a:prstGeom>
      </xdr:spPr>
    </xdr:pic>
    <xdr:clientData/>
  </xdr:twoCellAnchor>
  <xdr:twoCellAnchor editAs="oneCell">
    <xdr:from>
      <xdr:col>10</xdr:col>
      <xdr:colOff>114300</xdr:colOff>
      <xdr:row>101</xdr:row>
      <xdr:rowOff>66676</xdr:rowOff>
    </xdr:from>
    <xdr:to>
      <xdr:col>16</xdr:col>
      <xdr:colOff>314325</xdr:colOff>
      <xdr:row>104</xdr:row>
      <xdr:rowOff>97368</xdr:rowOff>
    </xdr:to>
    <xdr:pic>
      <xdr:nvPicPr>
        <xdr:cNvPr id="23" name="Picture 22">
          <a:extLst>
            <a:ext uri="{FF2B5EF4-FFF2-40B4-BE49-F238E27FC236}">
              <a16:creationId xmlns:a16="http://schemas.microsoft.com/office/drawing/2014/main" id="{6CDDCCA3-D9A8-48E8-B852-A9F494F0B985}"/>
            </a:ext>
          </a:extLst>
        </xdr:cNvPr>
        <xdr:cNvPicPr>
          <a:picLocks noChangeAspect="1"/>
        </xdr:cNvPicPr>
      </xdr:nvPicPr>
      <xdr:blipFill>
        <a:blip xmlns:r="http://schemas.openxmlformats.org/officeDocument/2006/relationships" r:embed="rId7"/>
        <a:stretch>
          <a:fillRect/>
        </a:stretch>
      </xdr:blipFill>
      <xdr:spPr>
        <a:xfrm>
          <a:off x="8715375" y="23936326"/>
          <a:ext cx="5419725" cy="60219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35859</xdr:colOff>
      <xdr:row>18</xdr:row>
      <xdr:rowOff>34176</xdr:rowOff>
    </xdr:from>
    <xdr:to>
      <xdr:col>13</xdr:col>
      <xdr:colOff>1199029</xdr:colOff>
      <xdr:row>53</xdr:row>
      <xdr:rowOff>571499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104215</xdr:colOff>
      <xdr:row>92</xdr:row>
      <xdr:rowOff>77321</xdr:rowOff>
    </xdr:from>
    <xdr:to>
      <xdr:col>13</xdr:col>
      <xdr:colOff>906556</xdr:colOff>
      <xdr:row>113</xdr:row>
      <xdr:rowOff>134471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0</xdr:colOff>
      <xdr:row>73</xdr:row>
      <xdr:rowOff>0</xdr:rowOff>
    </xdr:from>
    <xdr:ext cx="592663"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6010275" y="12172950"/>
              <a:ext cx="59266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𝑝𝑜𝑤𝑒𝑟</m:t>
                    </m:r>
                    <m:r>
                      <a:rPr lang="en-US" sz="1200" b="0" i="1">
                        <a:latin typeface="Cambria Math" panose="02040503050406030204" pitchFamily="18" charset="0"/>
                      </a:rPr>
                      <m:t> </m:t>
                    </m:r>
                    <m:r>
                      <a:rPr lang="en-US" sz="1200" b="0" i="1">
                        <a:latin typeface="Cambria Math" panose="02040503050406030204" pitchFamily="18" charset="0"/>
                      </a:rPr>
                      <m:t>𝑎</m:t>
                    </m:r>
                  </m:oMath>
                </m:oMathPara>
              </a14:m>
              <a:endParaRPr lang="en-US" sz="1200"/>
            </a:p>
          </xdr:txBody>
        </xdr:sp>
      </mc:Choice>
      <mc:Fallback xmlns="">
        <xdr:sp macro="" textlink="">
          <xdr:nvSpPr>
            <xdr:cNvPr id="6" name="TextBox 5">
              <a:extLst>
                <a:ext uri="{FF2B5EF4-FFF2-40B4-BE49-F238E27FC236}">
                  <a16:creationId xmlns:a16="http://schemas.microsoft.com/office/drawing/2014/main" id="{2ECBC068-68F2-4DEC-B857-6821C402F844}"/>
                </a:ext>
              </a:extLst>
            </xdr:cNvPr>
            <xdr:cNvSpPr txBox="1"/>
          </xdr:nvSpPr>
          <xdr:spPr>
            <a:xfrm>
              <a:off x="6010275" y="12172950"/>
              <a:ext cx="59266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𝑝𝑜𝑤𝑒𝑟 𝑎</a:t>
              </a:r>
              <a:endParaRPr lang="en-US" sz="1200"/>
            </a:p>
          </xdr:txBody>
        </xdr:sp>
      </mc:Fallback>
    </mc:AlternateContent>
    <xdr:clientData/>
  </xdr:oneCellAnchor>
  <xdr:oneCellAnchor>
    <xdr:from>
      <xdr:col>8</xdr:col>
      <xdr:colOff>0</xdr:colOff>
      <xdr:row>74</xdr:row>
      <xdr:rowOff>0</xdr:rowOff>
    </xdr:from>
    <xdr:ext cx="808042" cy="19518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010275" y="12439650"/>
              <a:ext cx="808042" cy="195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𝑝𝑜𝑤𝑒𝑟</m:t>
                    </m:r>
                    <m:r>
                      <a:rPr lang="en-US" sz="1200" b="0" i="1">
                        <a:latin typeface="Cambria Math" panose="02040503050406030204" pitchFamily="18" charset="0"/>
                      </a:rPr>
                      <m:t> </m:t>
                    </m:r>
                    <m:r>
                      <a:rPr lang="en-US" sz="1200" b="0" i="1">
                        <a:latin typeface="Cambria Math" panose="02040503050406030204" pitchFamily="18" charset="0"/>
                      </a:rPr>
                      <m:t>𝑏</m:t>
                    </m:r>
                    <m:r>
                      <a:rPr lang="en-US" sz="1200" b="0" i="1">
                        <a:latin typeface="Cambria Math" panose="02040503050406030204" pitchFamily="18" charset="0"/>
                      </a:rPr>
                      <m:t>, </m:t>
                    </m:r>
                    <m:sSup>
                      <m:sSupPr>
                        <m:ctrlPr>
                          <a:rPr lang="en-US" sz="1200" b="0" i="1">
                            <a:latin typeface="Cambria Math" panose="02040503050406030204" pitchFamily="18" charset="0"/>
                          </a:rPr>
                        </m:ctrlPr>
                      </m:sSupPr>
                      <m:e>
                        <m:r>
                          <a:rPr lang="en-US" sz="1200" b="0" i="1">
                            <a:latin typeface="Cambria Math" panose="02040503050406030204" pitchFamily="18" charset="0"/>
                          </a:rPr>
                          <m:t>𝑒</m:t>
                        </m:r>
                      </m:e>
                      <m:sup>
                        <m:r>
                          <a:rPr lang="en-US" sz="1200" b="0" i="1">
                            <a:latin typeface="Cambria Math" panose="02040503050406030204" pitchFamily="18" charset="0"/>
                          </a:rPr>
                          <m:t>𝑏</m:t>
                        </m:r>
                      </m:sup>
                    </m:sSup>
                  </m:oMath>
                </m:oMathPara>
              </a14:m>
              <a:endParaRPr lang="en-US" sz="1200"/>
            </a:p>
          </xdr:txBody>
        </xdr:sp>
      </mc:Choice>
      <mc:Fallback xmlns="">
        <xdr:sp macro="" textlink="">
          <xdr:nvSpPr>
            <xdr:cNvPr id="7" name="TextBox 6">
              <a:extLst>
                <a:ext uri="{FF2B5EF4-FFF2-40B4-BE49-F238E27FC236}">
                  <a16:creationId xmlns:a16="http://schemas.microsoft.com/office/drawing/2014/main" id="{7A3E35F2-D8F1-446B-9A8A-F82A9528FB93}"/>
                </a:ext>
              </a:extLst>
            </xdr:cNvPr>
            <xdr:cNvSpPr txBox="1"/>
          </xdr:nvSpPr>
          <xdr:spPr>
            <a:xfrm>
              <a:off x="6010275" y="12439650"/>
              <a:ext cx="808042" cy="195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𝑝𝑜𝑤𝑒𝑟 𝑏, 𝑒^𝑏</a:t>
              </a:r>
              <a:endParaRPr lang="en-US" sz="1200"/>
            </a:p>
          </xdr:txBody>
        </xdr:sp>
      </mc:Fallback>
    </mc:AlternateContent>
    <xdr:clientData/>
  </xdr:oneCellAnchor>
  <xdr:oneCellAnchor>
    <xdr:from>
      <xdr:col>8</xdr:col>
      <xdr:colOff>0</xdr:colOff>
      <xdr:row>75</xdr:row>
      <xdr:rowOff>0</xdr:rowOff>
    </xdr:from>
    <xdr:ext cx="985976" cy="187872"/>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010275" y="12706350"/>
              <a:ext cx="98597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𝑒𝑥𝑝𝑜𝑛𝑒𝑛𝑡𝑖𝑎𝑙</m:t>
                    </m:r>
                    <m:r>
                      <a:rPr lang="en-US" sz="1200" b="0" i="1">
                        <a:latin typeface="Cambria Math" panose="02040503050406030204" pitchFamily="18" charset="0"/>
                      </a:rPr>
                      <m:t> </m:t>
                    </m:r>
                    <m:r>
                      <a:rPr lang="en-US" sz="1200" b="0" i="1">
                        <a:latin typeface="Cambria Math" panose="02040503050406030204" pitchFamily="18" charset="0"/>
                      </a:rPr>
                      <m:t>𝑎</m:t>
                    </m:r>
                  </m:oMath>
                </m:oMathPara>
              </a14:m>
              <a:endParaRPr lang="en-US" sz="1200"/>
            </a:p>
          </xdr:txBody>
        </xdr:sp>
      </mc:Choice>
      <mc:Fallback xmlns="">
        <xdr:sp macro="" textlink="">
          <xdr:nvSpPr>
            <xdr:cNvPr id="8" name="TextBox 7">
              <a:extLst>
                <a:ext uri="{FF2B5EF4-FFF2-40B4-BE49-F238E27FC236}">
                  <a16:creationId xmlns:a16="http://schemas.microsoft.com/office/drawing/2014/main" id="{0BBB45B4-620F-489F-AE35-DD29F76843A9}"/>
                </a:ext>
              </a:extLst>
            </xdr:cNvPr>
            <xdr:cNvSpPr txBox="1"/>
          </xdr:nvSpPr>
          <xdr:spPr>
            <a:xfrm>
              <a:off x="6010275" y="12706350"/>
              <a:ext cx="98597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𝑒𝑥𝑝𝑜𝑛𝑒𝑛𝑡𝑖𝑎𝑙 𝑎</a:t>
              </a:r>
              <a:endParaRPr lang="en-US" sz="1200"/>
            </a:p>
          </xdr:txBody>
        </xdr:sp>
      </mc:Fallback>
    </mc:AlternateContent>
    <xdr:clientData/>
  </xdr:oneCellAnchor>
  <xdr:oneCellAnchor>
    <xdr:from>
      <xdr:col>8</xdr:col>
      <xdr:colOff>0</xdr:colOff>
      <xdr:row>76</xdr:row>
      <xdr:rowOff>0</xdr:rowOff>
    </xdr:from>
    <xdr:ext cx="1201355" cy="19518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010275" y="12973050"/>
              <a:ext cx="1201355" cy="195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𝑒𝑥𝑝𝑜𝑛𝑒𝑛𝑡𝑖𝑎𝑙</m:t>
                    </m:r>
                    <m:r>
                      <a:rPr lang="en-US" sz="1200" b="0" i="1">
                        <a:latin typeface="Cambria Math" panose="02040503050406030204" pitchFamily="18" charset="0"/>
                      </a:rPr>
                      <m:t> </m:t>
                    </m:r>
                    <m:r>
                      <a:rPr lang="en-US" sz="1200" b="0" i="1">
                        <a:latin typeface="Cambria Math" panose="02040503050406030204" pitchFamily="18" charset="0"/>
                      </a:rPr>
                      <m:t>𝑏</m:t>
                    </m:r>
                    <m:r>
                      <a:rPr lang="en-US" sz="1200" b="0" i="1">
                        <a:latin typeface="Cambria Math" panose="02040503050406030204" pitchFamily="18" charset="0"/>
                      </a:rPr>
                      <m:t>, </m:t>
                    </m:r>
                    <m:sSup>
                      <m:sSupPr>
                        <m:ctrlPr>
                          <a:rPr lang="en-US" sz="1200" b="0" i="1">
                            <a:latin typeface="Cambria Math" panose="02040503050406030204" pitchFamily="18" charset="0"/>
                          </a:rPr>
                        </m:ctrlPr>
                      </m:sSupPr>
                      <m:e>
                        <m:r>
                          <a:rPr lang="en-US" sz="1200" b="0" i="1">
                            <a:latin typeface="Cambria Math" panose="02040503050406030204" pitchFamily="18" charset="0"/>
                          </a:rPr>
                          <m:t>𝑒</m:t>
                        </m:r>
                      </m:e>
                      <m:sup>
                        <m:r>
                          <a:rPr lang="en-US" sz="1200" b="0" i="1">
                            <a:latin typeface="Cambria Math" panose="02040503050406030204" pitchFamily="18" charset="0"/>
                          </a:rPr>
                          <m:t>𝑏</m:t>
                        </m:r>
                      </m:sup>
                    </m:sSup>
                  </m:oMath>
                </m:oMathPara>
              </a14:m>
              <a:endParaRPr lang="en-US" sz="1200"/>
            </a:p>
          </xdr:txBody>
        </xdr:sp>
      </mc:Choice>
      <mc:Fallback xmlns="">
        <xdr:sp macro="" textlink="">
          <xdr:nvSpPr>
            <xdr:cNvPr id="9" name="TextBox 8">
              <a:extLst>
                <a:ext uri="{FF2B5EF4-FFF2-40B4-BE49-F238E27FC236}">
                  <a16:creationId xmlns:a16="http://schemas.microsoft.com/office/drawing/2014/main" id="{98916C2A-0C87-4AB6-826D-E6E896000433}"/>
                </a:ext>
              </a:extLst>
            </xdr:cNvPr>
            <xdr:cNvSpPr txBox="1"/>
          </xdr:nvSpPr>
          <xdr:spPr>
            <a:xfrm>
              <a:off x="6010275" y="12973050"/>
              <a:ext cx="1201355" cy="195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𝑒𝑥𝑝𝑜𝑛𝑒𝑛𝑡𝑖𝑎𝑙 𝑏, 𝑒^𝑏</a:t>
              </a:r>
              <a:endParaRPr lang="en-US" sz="1200"/>
            </a:p>
          </xdr:txBody>
        </xdr:sp>
      </mc:Fallback>
    </mc:AlternateContent>
    <xdr:clientData/>
  </xdr:oneCellAnchor>
  <xdr:oneCellAnchor>
    <xdr:from>
      <xdr:col>8</xdr:col>
      <xdr:colOff>0</xdr:colOff>
      <xdr:row>77</xdr:row>
      <xdr:rowOff>0</xdr:rowOff>
    </xdr:from>
    <xdr:ext cx="283475"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010275" y="13239750"/>
              <a:ext cx="28347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𝑛</m:t>
                    </m:r>
                    <m:r>
                      <a:rPr lang="en-US" sz="1200" b="0" i="1">
                        <a:latin typeface="Cambria Math" panose="02040503050406030204" pitchFamily="18"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16714CCD-A3B6-4464-980A-BC4304ED9CDF}"/>
                </a:ext>
              </a:extLst>
            </xdr:cNvPr>
            <xdr:cNvSpPr txBox="1"/>
          </xdr:nvSpPr>
          <xdr:spPr>
            <a:xfrm>
              <a:off x="6010275" y="13239750"/>
              <a:ext cx="28347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𝑛=</a:t>
              </a:r>
              <a:endParaRPr lang="en-US" sz="1200" b="0"/>
            </a:p>
          </xdr:txBody>
        </xdr:sp>
      </mc:Fallback>
    </mc:AlternateContent>
    <xdr:clientData/>
  </xdr:oneCellAnchor>
  <xdr:oneCellAnchor>
    <xdr:from>
      <xdr:col>8</xdr:col>
      <xdr:colOff>0</xdr:colOff>
      <xdr:row>78</xdr:row>
      <xdr:rowOff>0</xdr:rowOff>
    </xdr:from>
    <xdr:ext cx="747769" cy="187872"/>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010275" y="13506450"/>
              <a:ext cx="74776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𝐴𝑣𝑒𝑟𝑎𝑔𝑒</m:t>
                    </m:r>
                    <m:r>
                      <a:rPr lang="en-US" sz="1200" b="0" i="1">
                        <a:latin typeface="Cambria Math" panose="02040503050406030204" pitchFamily="18" charset="0"/>
                      </a:rPr>
                      <m:t> </m:t>
                    </m:r>
                    <m:r>
                      <a:rPr lang="en-US" sz="1200" b="0" i="1">
                        <a:latin typeface="Cambria Math" panose="02040503050406030204" pitchFamily="18" charset="0"/>
                      </a:rPr>
                      <m:t>𝑦</m:t>
                    </m:r>
                  </m:oMath>
                </m:oMathPara>
              </a14:m>
              <a:endParaRPr lang="en-US" sz="1200" b="0"/>
            </a:p>
          </xdr:txBody>
        </xdr:sp>
      </mc:Choice>
      <mc:Fallback xmlns="">
        <xdr:sp macro="" textlink="">
          <xdr:nvSpPr>
            <xdr:cNvPr id="11" name="TextBox 10">
              <a:extLst>
                <a:ext uri="{FF2B5EF4-FFF2-40B4-BE49-F238E27FC236}">
                  <a16:creationId xmlns:a16="http://schemas.microsoft.com/office/drawing/2014/main" id="{3DCC8464-3321-4508-81D3-4BDE6F62A2E9}"/>
                </a:ext>
              </a:extLst>
            </xdr:cNvPr>
            <xdr:cNvSpPr txBox="1"/>
          </xdr:nvSpPr>
          <xdr:spPr>
            <a:xfrm>
              <a:off x="6010275" y="13506450"/>
              <a:ext cx="74776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𝐴𝑣𝑒𝑟𝑎𝑔𝑒 𝑦</a:t>
              </a:r>
              <a:endParaRPr lang="en-US" sz="1200" b="0"/>
            </a:p>
          </xdr:txBody>
        </xdr:sp>
      </mc:Fallback>
    </mc:AlternateContent>
    <xdr:clientData/>
  </xdr:oneCellAnchor>
  <xdr:oneCellAnchor>
    <xdr:from>
      <xdr:col>8</xdr:col>
      <xdr:colOff>0</xdr:colOff>
      <xdr:row>71</xdr:row>
      <xdr:rowOff>0</xdr:rowOff>
    </xdr:from>
    <xdr:ext cx="582595" cy="187872"/>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6010275" y="11639550"/>
              <a:ext cx="58259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𝑙𝑖𝑛𝑒𝑎𝑟</m:t>
                    </m:r>
                    <m:r>
                      <a:rPr lang="en-US" sz="1200" b="0" i="1">
                        <a:latin typeface="Cambria Math" panose="02040503050406030204" pitchFamily="18" charset="0"/>
                      </a:rPr>
                      <m:t> </m:t>
                    </m:r>
                    <m:r>
                      <a:rPr lang="en-US" sz="1200" b="0" i="1">
                        <a:latin typeface="Cambria Math" panose="02040503050406030204" pitchFamily="18" charset="0"/>
                      </a:rPr>
                      <m:t>𝑎</m:t>
                    </m:r>
                  </m:oMath>
                </m:oMathPara>
              </a14:m>
              <a:endParaRPr lang="en-US" sz="1200"/>
            </a:p>
          </xdr:txBody>
        </xdr:sp>
      </mc:Choice>
      <mc:Fallback xmlns="">
        <xdr:sp macro="" textlink="">
          <xdr:nvSpPr>
            <xdr:cNvPr id="12" name="TextBox 11">
              <a:extLst>
                <a:ext uri="{FF2B5EF4-FFF2-40B4-BE49-F238E27FC236}">
                  <a16:creationId xmlns:a16="http://schemas.microsoft.com/office/drawing/2014/main" id="{E5F41CAD-E73B-44D4-9678-B709EC0D1E87}"/>
                </a:ext>
              </a:extLst>
            </xdr:cNvPr>
            <xdr:cNvSpPr txBox="1"/>
          </xdr:nvSpPr>
          <xdr:spPr>
            <a:xfrm>
              <a:off x="6010275" y="11639550"/>
              <a:ext cx="58259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𝑙𝑖𝑛𝑒𝑎𝑟 𝑎</a:t>
              </a:r>
              <a:endParaRPr lang="en-US" sz="1200"/>
            </a:p>
          </xdr:txBody>
        </xdr:sp>
      </mc:Fallback>
    </mc:AlternateContent>
    <xdr:clientData/>
  </xdr:oneCellAnchor>
  <xdr:oneCellAnchor>
    <xdr:from>
      <xdr:col>8</xdr:col>
      <xdr:colOff>0</xdr:colOff>
      <xdr:row>72</xdr:row>
      <xdr:rowOff>0</xdr:rowOff>
    </xdr:from>
    <xdr:ext cx="582595" cy="187872"/>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6010275" y="11906250"/>
              <a:ext cx="58259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𝑙𝑖𝑛𝑒𝑎𝑟</m:t>
                    </m:r>
                    <m:r>
                      <a:rPr lang="en-US" sz="1200" b="0" i="1">
                        <a:latin typeface="Cambria Math" panose="02040503050406030204" pitchFamily="18" charset="0"/>
                      </a:rPr>
                      <m:t> </m:t>
                    </m:r>
                    <m:r>
                      <a:rPr lang="en-US" sz="1200" b="0" i="1">
                        <a:latin typeface="Cambria Math" panose="02040503050406030204" pitchFamily="18" charset="0"/>
                      </a:rPr>
                      <m:t>𝑏</m:t>
                    </m:r>
                  </m:oMath>
                </m:oMathPara>
              </a14:m>
              <a:endParaRPr lang="en-US" sz="1200"/>
            </a:p>
          </xdr:txBody>
        </xdr:sp>
      </mc:Choice>
      <mc:Fallback xmlns="">
        <xdr:sp macro="" textlink="">
          <xdr:nvSpPr>
            <xdr:cNvPr id="13" name="TextBox 12">
              <a:extLst>
                <a:ext uri="{FF2B5EF4-FFF2-40B4-BE49-F238E27FC236}">
                  <a16:creationId xmlns:a16="http://schemas.microsoft.com/office/drawing/2014/main" id="{7AD9D72C-D38A-4D58-8A67-1061E8E32EB5}"/>
                </a:ext>
              </a:extLst>
            </xdr:cNvPr>
            <xdr:cNvSpPr txBox="1"/>
          </xdr:nvSpPr>
          <xdr:spPr>
            <a:xfrm>
              <a:off x="6010275" y="11906250"/>
              <a:ext cx="58259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𝑙𝑖𝑛𝑒𝑎𝑟 𝑏</a:t>
              </a:r>
              <a:endParaRPr lang="en-US" sz="1200"/>
            </a:p>
          </xdr:txBody>
        </xdr:sp>
      </mc:Fallback>
    </mc:AlternateContent>
    <xdr:clientData/>
  </xdr:oneCellAnchor>
  <xdr:oneCellAnchor>
    <xdr:from>
      <xdr:col>8</xdr:col>
      <xdr:colOff>0</xdr:colOff>
      <xdr:row>79</xdr:row>
      <xdr:rowOff>0</xdr:rowOff>
    </xdr:from>
    <xdr:ext cx="597984" cy="187872"/>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6010275" y="13773150"/>
              <a:ext cx="597984"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𝑏𝑒𝑠𝑡</m:t>
                    </m:r>
                    <m:r>
                      <a:rPr lang="en-US" sz="1200" b="0" i="1">
                        <a:latin typeface="Cambria Math" panose="02040503050406030204" pitchFamily="18" charset="0"/>
                      </a:rPr>
                      <m:t> </m:t>
                    </m:r>
                    <m:r>
                      <a:rPr lang="en-US" sz="1200" b="0" i="1">
                        <a:latin typeface="Cambria Math" panose="02040503050406030204" pitchFamily="18" charset="0"/>
                      </a:rPr>
                      <m:t>𝑟</m:t>
                    </m:r>
                    <m:r>
                      <a:rPr lang="en-US" sz="1200" b="0" i="1">
                        <a:latin typeface="Cambria Math" panose="02040503050406030204" pitchFamily="18" charset="0"/>
                      </a:rPr>
                      <m:t>=</m:t>
                    </m:r>
                  </m:oMath>
                </m:oMathPara>
              </a14:m>
              <a:endParaRPr lang="en-US" sz="1200" b="0"/>
            </a:p>
          </xdr:txBody>
        </xdr:sp>
      </mc:Choice>
      <mc:Fallback xmlns="">
        <xdr:sp macro="" textlink="">
          <xdr:nvSpPr>
            <xdr:cNvPr id="14" name="TextBox 13">
              <a:extLst>
                <a:ext uri="{FF2B5EF4-FFF2-40B4-BE49-F238E27FC236}">
                  <a16:creationId xmlns:a16="http://schemas.microsoft.com/office/drawing/2014/main" id="{635F5C35-19F5-4B27-A9EC-68553BA2AE01}"/>
                </a:ext>
              </a:extLst>
            </xdr:cNvPr>
            <xdr:cNvSpPr txBox="1"/>
          </xdr:nvSpPr>
          <xdr:spPr>
            <a:xfrm>
              <a:off x="6010275" y="13773150"/>
              <a:ext cx="597984"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𝑏𝑒𝑠𝑡 𝑟=</a:t>
              </a:r>
              <a:endParaRPr lang="en-US" sz="1200" b="0"/>
            </a:p>
          </xdr:txBody>
        </xdr:sp>
      </mc:Fallback>
    </mc:AlternateContent>
    <xdr:clientData/>
  </xdr:oneCellAnchor>
  <xdr:twoCellAnchor editAs="oneCell">
    <xdr:from>
      <xdr:col>12</xdr:col>
      <xdr:colOff>83484</xdr:colOff>
      <xdr:row>79</xdr:row>
      <xdr:rowOff>66675</xdr:rowOff>
    </xdr:from>
    <xdr:to>
      <xdr:col>12</xdr:col>
      <xdr:colOff>1251552</xdr:colOff>
      <xdr:row>81</xdr:row>
      <xdr:rowOff>392660</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11547102" y="11384616"/>
          <a:ext cx="1168068" cy="863867"/>
        </a:xfrm>
        <a:prstGeom prst="rect">
          <a:avLst/>
        </a:prstGeom>
      </xdr:spPr>
    </xdr:pic>
    <xdr:clientData/>
  </xdr:twoCellAnchor>
  <xdr:twoCellAnchor editAs="oneCell">
    <xdr:from>
      <xdr:col>15</xdr:col>
      <xdr:colOff>768164</xdr:colOff>
      <xdr:row>71</xdr:row>
      <xdr:rowOff>202266</xdr:rowOff>
    </xdr:from>
    <xdr:to>
      <xdr:col>16</xdr:col>
      <xdr:colOff>1025144</xdr:colOff>
      <xdr:row>74</xdr:row>
      <xdr:rowOff>150064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16165046" y="9368678"/>
          <a:ext cx="1568068" cy="754622"/>
        </a:xfrm>
        <a:prstGeom prst="rect">
          <a:avLst/>
        </a:prstGeom>
      </xdr:spPr>
    </xdr:pic>
    <xdr:clientData/>
  </xdr:twoCellAnchor>
  <xdr:twoCellAnchor editAs="oneCell">
    <xdr:from>
      <xdr:col>14</xdr:col>
      <xdr:colOff>354105</xdr:colOff>
      <xdr:row>71</xdr:row>
      <xdr:rowOff>168649</xdr:rowOff>
    </xdr:from>
    <xdr:to>
      <xdr:col>15</xdr:col>
      <xdr:colOff>534893</xdr:colOff>
      <xdr:row>74</xdr:row>
      <xdr:rowOff>106923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5"/>
        <a:stretch>
          <a:fillRect/>
        </a:stretch>
      </xdr:blipFill>
      <xdr:spPr>
        <a:xfrm>
          <a:off x="14439899" y="9335061"/>
          <a:ext cx="1491876" cy="745098"/>
        </a:xfrm>
        <a:prstGeom prst="rect">
          <a:avLst/>
        </a:prstGeom>
      </xdr:spPr>
    </xdr:pic>
    <xdr:clientData/>
  </xdr:twoCellAnchor>
  <xdr:twoCellAnchor editAs="oneCell">
    <xdr:from>
      <xdr:col>6</xdr:col>
      <xdr:colOff>590550</xdr:colOff>
      <xdr:row>70</xdr:row>
      <xdr:rowOff>38100</xdr:rowOff>
    </xdr:from>
    <xdr:to>
      <xdr:col>7</xdr:col>
      <xdr:colOff>780900</xdr:colOff>
      <xdr:row>77</xdr:row>
      <xdr:rowOff>18829</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6"/>
        <a:stretch>
          <a:fillRect/>
        </a:stretch>
      </xdr:blipFill>
      <xdr:spPr>
        <a:xfrm>
          <a:off x="4600575" y="11487150"/>
          <a:ext cx="1190476" cy="1771429"/>
        </a:xfrm>
        <a:prstGeom prst="rect">
          <a:avLst/>
        </a:prstGeom>
      </xdr:spPr>
    </xdr:pic>
    <xdr:clientData/>
  </xdr:twoCellAnchor>
  <xdr:twoCellAnchor editAs="oneCell">
    <xdr:from>
      <xdr:col>4</xdr:col>
      <xdr:colOff>304800</xdr:colOff>
      <xdr:row>70</xdr:row>
      <xdr:rowOff>28575</xdr:rowOff>
    </xdr:from>
    <xdr:to>
      <xdr:col>6</xdr:col>
      <xdr:colOff>162858</xdr:colOff>
      <xdr:row>77</xdr:row>
      <xdr:rowOff>9304</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7"/>
        <a:stretch>
          <a:fillRect/>
        </a:stretch>
      </xdr:blipFill>
      <xdr:spPr>
        <a:xfrm>
          <a:off x="3095625" y="11477625"/>
          <a:ext cx="1514286" cy="1771429"/>
        </a:xfrm>
        <a:prstGeom prst="rect">
          <a:avLst/>
        </a:prstGeom>
      </xdr:spPr>
    </xdr:pic>
    <xdr:clientData/>
  </xdr:twoCellAnchor>
  <xdr:twoCellAnchor editAs="oneCell">
    <xdr:from>
      <xdr:col>2</xdr:col>
      <xdr:colOff>57150</xdr:colOff>
      <xdr:row>70</xdr:row>
      <xdr:rowOff>76200</xdr:rowOff>
    </xdr:from>
    <xdr:to>
      <xdr:col>4</xdr:col>
      <xdr:colOff>276000</xdr:colOff>
      <xdr:row>74</xdr:row>
      <xdr:rowOff>247505</xdr:rowOff>
    </xdr:to>
    <xdr:pic>
      <xdr:nvPicPr>
        <xdr:cNvPr id="20" name="Pictur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8"/>
        <a:stretch>
          <a:fillRect/>
        </a:stretch>
      </xdr:blipFill>
      <xdr:spPr>
        <a:xfrm>
          <a:off x="1276350" y="11525250"/>
          <a:ext cx="1790476" cy="1161905"/>
        </a:xfrm>
        <a:prstGeom prst="rect">
          <a:avLst/>
        </a:prstGeom>
      </xdr:spPr>
    </xdr:pic>
    <xdr:clientData/>
  </xdr:twoCellAnchor>
  <xdr:oneCellAnchor>
    <xdr:from>
      <xdr:col>12</xdr:col>
      <xdr:colOff>590550</xdr:colOff>
      <xdr:row>73</xdr:row>
      <xdr:rowOff>38100</xdr:rowOff>
    </xdr:from>
    <xdr:ext cx="1018933" cy="187872"/>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10601325" y="12896850"/>
              <a:ext cx="101893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𝑟</m:t>
                    </m:r>
                    <m:r>
                      <a:rPr lang="en-US" sz="1200" b="0" i="1">
                        <a:latin typeface="Cambria Math" panose="02040503050406030204" pitchFamily="18" charset="0"/>
                      </a:rPr>
                      <m:t> </m:t>
                    </m:r>
                    <m:r>
                      <a:rPr lang="en-US" sz="1200" b="0" i="1">
                        <a:latin typeface="Cambria Math" panose="02040503050406030204" pitchFamily="18" charset="0"/>
                      </a:rPr>
                      <m:t>𝐶𝑎𝑙𝑐𝑢𝑙𝑎𝑡𝑖𝑜𝑛𝑠</m:t>
                    </m:r>
                  </m:oMath>
                </m:oMathPara>
              </a14:m>
              <a:endParaRPr lang="en-US" sz="1200" b="0"/>
            </a:p>
          </xdr:txBody>
        </xdr:sp>
      </mc:Choice>
      <mc:Fallback xmlns="">
        <xdr:sp macro="" textlink="">
          <xdr:nvSpPr>
            <xdr:cNvPr id="21" name="TextBox 20">
              <a:extLst>
                <a:ext uri="{FF2B5EF4-FFF2-40B4-BE49-F238E27FC236}">
                  <a16:creationId xmlns:a16="http://schemas.microsoft.com/office/drawing/2014/main" id="{23261B9A-F4D5-49E7-A3D2-8CB08FA02B6E}"/>
                </a:ext>
              </a:extLst>
            </xdr:cNvPr>
            <xdr:cNvSpPr txBox="1"/>
          </xdr:nvSpPr>
          <xdr:spPr>
            <a:xfrm>
              <a:off x="10601325" y="12896850"/>
              <a:ext cx="101893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𝑟 𝐶𝑎𝑙𝑐𝑢𝑙𝑎𝑡𝑖𝑜𝑛𝑠</a:t>
              </a:r>
              <a:endParaRPr lang="en-US" sz="1200" b="0"/>
            </a:p>
          </xdr:txBody>
        </xdr:sp>
      </mc:Fallback>
    </mc:AlternateContent>
    <xdr:clientData/>
  </xdr:oneCellAnchor>
  <xdr:oneCellAnchor>
    <xdr:from>
      <xdr:col>2</xdr:col>
      <xdr:colOff>63873</xdr:colOff>
      <xdr:row>81</xdr:row>
      <xdr:rowOff>69476</xdr:rowOff>
    </xdr:from>
    <xdr:ext cx="3537700" cy="250453"/>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666314" y="11925300"/>
              <a:ext cx="3537700"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𝑦</m:t>
                    </m:r>
                    <m:r>
                      <a:rPr lang="en-US" sz="1600" b="0" i="1">
                        <a:latin typeface="Cambria Math" panose="02040503050406030204" pitchFamily="18" charset="0"/>
                      </a:rPr>
                      <m:t>=16859.4405594406 </m:t>
                    </m:r>
                    <m:r>
                      <a:rPr lang="en-US" sz="1600" b="0" i="1">
                        <a:latin typeface="Cambria Math" panose="02040503050406030204" pitchFamily="18" charset="0"/>
                      </a:rPr>
                      <m:t>𝑥</m:t>
                    </m:r>
                    <m:r>
                      <a:rPr lang="en-US" sz="1600" b="0" i="1">
                        <a:latin typeface="Cambria Math" panose="02040503050406030204" pitchFamily="18" charset="0"/>
                      </a:rPr>
                      <m:t>−32025108 </m:t>
                    </m:r>
                  </m:oMath>
                </m:oMathPara>
              </a14:m>
              <a:endParaRPr lang="en-US" sz="1600"/>
            </a:p>
          </xdr:txBody>
        </xdr:sp>
      </mc:Choice>
      <mc:Fallback xmlns="">
        <xdr:sp macro="" textlink="">
          <xdr:nvSpPr>
            <xdr:cNvPr id="4" name="TextBox 3">
              <a:extLst>
                <a:ext uri="{FF2B5EF4-FFF2-40B4-BE49-F238E27FC236}">
                  <a16:creationId xmlns:a16="http://schemas.microsoft.com/office/drawing/2014/main" id="{1850D850-6BF6-4F5F-989D-F4330C79002F}"/>
                </a:ext>
              </a:extLst>
            </xdr:cNvPr>
            <xdr:cNvSpPr txBox="1"/>
          </xdr:nvSpPr>
          <xdr:spPr>
            <a:xfrm>
              <a:off x="1666314" y="11925300"/>
              <a:ext cx="3537700" cy="250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600" b="0" i="0">
                  <a:latin typeface="Cambria Math" panose="02040503050406030204" pitchFamily="18" charset="0"/>
                </a:rPr>
                <a:t>𝑦=16859.4405594406 𝑥−32025108 </a:t>
              </a:r>
              <a:endParaRPr lang="en-US" sz="1600"/>
            </a:p>
          </xdr:txBody>
        </xdr:sp>
      </mc:Fallback>
    </mc:AlternateContent>
    <xdr:clientData/>
  </xdr:oneCellAnchor>
  <xdr:oneCellAnchor>
    <xdr:from>
      <xdr:col>2</xdr:col>
      <xdr:colOff>59391</xdr:colOff>
      <xdr:row>82</xdr:row>
      <xdr:rowOff>53788</xdr:rowOff>
    </xdr:from>
    <xdr:ext cx="2822696" cy="255006"/>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661832" y="12313023"/>
              <a:ext cx="2822696" cy="255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𝑦</m:t>
                    </m:r>
                    <m:r>
                      <a:rPr lang="en-US" sz="1600" b="0" i="1">
                        <a:latin typeface="Cambria Math" panose="02040503050406030204" pitchFamily="18" charset="0"/>
                      </a:rPr>
                      <m:t>=4.3123⋅</m:t>
                    </m:r>
                    <m:sSup>
                      <m:sSupPr>
                        <m:ctrlPr>
                          <a:rPr lang="en-US" sz="1600" b="0" i="1">
                            <a:latin typeface="Cambria Math" panose="02040503050406030204" pitchFamily="18" charset="0"/>
                          </a:rPr>
                        </m:ctrlPr>
                      </m:sSupPr>
                      <m:e>
                        <m:r>
                          <a:rPr lang="en-US" sz="1600" b="0" i="1">
                            <a:latin typeface="Cambria Math" panose="02040503050406030204" pitchFamily="18" charset="0"/>
                          </a:rPr>
                          <m:t>10</m:t>
                        </m:r>
                      </m:e>
                      <m:sup>
                        <m:r>
                          <a:rPr lang="en-US" sz="1600" b="0" i="1">
                            <a:latin typeface="Cambria Math" panose="02040503050406030204" pitchFamily="18" charset="0"/>
                          </a:rPr>
                          <m:t>−128</m:t>
                        </m:r>
                      </m:sup>
                    </m:sSup>
                    <m:sSup>
                      <m:sSupPr>
                        <m:ctrlPr>
                          <a:rPr lang="en-US" sz="1600" b="0" i="1">
                            <a:latin typeface="Cambria Math" panose="02040503050406030204" pitchFamily="18" charset="0"/>
                          </a:rPr>
                        </m:ctrlPr>
                      </m:sSupPr>
                      <m:e>
                        <m:r>
                          <a:rPr lang="en-US" sz="1600" b="0" i="1">
                            <a:latin typeface="Cambria Math" panose="02040503050406030204" pitchFamily="18" charset="0"/>
                          </a:rPr>
                          <m:t>𝑥</m:t>
                        </m:r>
                      </m:e>
                      <m:sup>
                        <m:r>
                          <a:rPr lang="en-US" sz="1600" b="0" i="1">
                            <a:latin typeface="Cambria Math" panose="02040503050406030204" pitchFamily="18" charset="0"/>
                          </a:rPr>
                          <m:t>40.48336744</m:t>
                        </m:r>
                      </m:sup>
                    </m:sSup>
                  </m:oMath>
                </m:oMathPara>
              </a14:m>
              <a:endParaRPr lang="en-US" sz="1600"/>
            </a:p>
          </xdr:txBody>
        </xdr:sp>
      </mc:Choice>
      <mc:Fallback xmlns="">
        <xdr:sp macro="" textlink="">
          <xdr:nvSpPr>
            <xdr:cNvPr id="22" name="TextBox 21">
              <a:extLst>
                <a:ext uri="{FF2B5EF4-FFF2-40B4-BE49-F238E27FC236}">
                  <a16:creationId xmlns:a16="http://schemas.microsoft.com/office/drawing/2014/main" id="{2526DBF3-C01E-4C0D-A692-49AA1112C0E4}"/>
                </a:ext>
              </a:extLst>
            </xdr:cNvPr>
            <xdr:cNvSpPr txBox="1"/>
          </xdr:nvSpPr>
          <xdr:spPr>
            <a:xfrm>
              <a:off x="1661832" y="12313023"/>
              <a:ext cx="2822696" cy="255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600" b="0" i="0">
                  <a:latin typeface="Cambria Math" panose="02040503050406030204" pitchFamily="18" charset="0"/>
                </a:rPr>
                <a:t>𝑦=4.3123⋅10^(−128) 𝑥^40.48336744</a:t>
              </a:r>
              <a:endParaRPr lang="en-US" sz="1600"/>
            </a:p>
          </xdr:txBody>
        </xdr:sp>
      </mc:Fallback>
    </mc:AlternateContent>
    <xdr:clientData/>
  </xdr:oneCellAnchor>
  <xdr:oneCellAnchor>
    <xdr:from>
      <xdr:col>2</xdr:col>
      <xdr:colOff>70597</xdr:colOff>
      <xdr:row>83</xdr:row>
      <xdr:rowOff>87406</xdr:rowOff>
    </xdr:from>
    <xdr:ext cx="2920223" cy="258532"/>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1673038" y="12750053"/>
              <a:ext cx="2920223" cy="2585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𝑦</m:t>
                    </m:r>
                    <m:r>
                      <a:rPr lang="en-US" sz="1600" b="0" i="1">
                        <a:latin typeface="Cambria Math" panose="02040503050406030204" pitchFamily="18" charset="0"/>
                      </a:rPr>
                      <m:t>=1.96394⋅</m:t>
                    </m:r>
                    <m:sSup>
                      <m:sSupPr>
                        <m:ctrlPr>
                          <a:rPr lang="en-US" sz="1600" b="0" i="1">
                            <a:latin typeface="Cambria Math" panose="02040503050406030204" pitchFamily="18" charset="0"/>
                          </a:rPr>
                        </m:ctrlPr>
                      </m:sSupPr>
                      <m:e>
                        <m:r>
                          <a:rPr lang="en-US" sz="1600" b="0" i="1">
                            <a:latin typeface="Cambria Math" panose="02040503050406030204" pitchFamily="18" charset="0"/>
                          </a:rPr>
                          <m:t>10</m:t>
                        </m:r>
                      </m:e>
                      <m:sup>
                        <m:r>
                          <a:rPr lang="en-US" sz="1600" b="0" i="1">
                            <a:latin typeface="Cambria Math" panose="02040503050406030204" pitchFamily="18" charset="0"/>
                          </a:rPr>
                          <m:t>−12</m:t>
                        </m:r>
                      </m:sup>
                    </m:sSup>
                    <m:sSup>
                      <m:sSupPr>
                        <m:ctrlPr>
                          <a:rPr lang="en-US" sz="1600" b="0" i="1">
                            <a:latin typeface="Cambria Math" panose="02040503050406030204" pitchFamily="18" charset="0"/>
                          </a:rPr>
                        </m:ctrlPr>
                      </m:sSupPr>
                      <m:e>
                        <m:r>
                          <a:rPr lang="en-US" sz="1600" b="0" i="1">
                            <a:latin typeface="Cambria Math" panose="02040503050406030204" pitchFamily="18" charset="0"/>
                          </a:rPr>
                          <m:t>𝑒</m:t>
                        </m:r>
                      </m:e>
                      <m:sup>
                        <m:r>
                          <a:rPr lang="en-US" sz="1600" b="0" i="1">
                            <a:latin typeface="Cambria Math" panose="02040503050406030204" pitchFamily="18" charset="0"/>
                          </a:rPr>
                          <m:t>0.020700353 </m:t>
                        </m:r>
                      </m:sup>
                    </m:sSup>
                    <m:r>
                      <a:rPr lang="en-US" sz="1600" b="0" i="1">
                        <a:latin typeface="Cambria Math" panose="02040503050406030204" pitchFamily="18" charset="0"/>
                      </a:rPr>
                      <m:t> </m:t>
                    </m:r>
                  </m:oMath>
                </m:oMathPara>
              </a14:m>
              <a:endParaRPr lang="en-US" sz="1600"/>
            </a:p>
          </xdr:txBody>
        </xdr:sp>
      </mc:Choice>
      <mc:Fallback xmlns="">
        <xdr:sp macro="" textlink="">
          <xdr:nvSpPr>
            <xdr:cNvPr id="23" name="TextBox 22">
              <a:extLst>
                <a:ext uri="{FF2B5EF4-FFF2-40B4-BE49-F238E27FC236}">
                  <a16:creationId xmlns:a16="http://schemas.microsoft.com/office/drawing/2014/main" id="{3479A2BA-0C49-41D5-AB1D-5663E716438F}"/>
                </a:ext>
              </a:extLst>
            </xdr:cNvPr>
            <xdr:cNvSpPr txBox="1"/>
          </xdr:nvSpPr>
          <xdr:spPr>
            <a:xfrm>
              <a:off x="1673038" y="12750053"/>
              <a:ext cx="2920223" cy="2585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600" b="0" i="0">
                  <a:latin typeface="Cambria Math" panose="02040503050406030204" pitchFamily="18" charset="0"/>
                </a:rPr>
                <a:t>𝑦=1.96394⋅10^(−12) 𝑒^(0.020700353 )  </a:t>
              </a:r>
              <a:endParaRPr lang="en-US" sz="1600"/>
            </a:p>
          </xdr:txBody>
        </xdr:sp>
      </mc:Fallback>
    </mc:AlternateContent>
    <xdr:clientData/>
  </xdr:oneCellAnchor>
  <xdr:oneCellAnchor>
    <xdr:from>
      <xdr:col>11</xdr:col>
      <xdr:colOff>400050</xdr:colOff>
      <xdr:row>55</xdr:row>
      <xdr:rowOff>9525</xdr:rowOff>
    </xdr:from>
    <xdr:ext cx="540084" cy="1722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782300" y="6648450"/>
              <a:ext cx="54008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𝑦</m:t>
                        </m:r>
                      </m:e>
                      <m:sub>
                        <m:r>
                          <a:rPr lang="en-US" sz="1100" b="0" i="1">
                            <a:latin typeface="Cambria Math" panose="02040503050406030204" pitchFamily="18" charset="0"/>
                          </a:rPr>
                          <m:t>𝑖</m:t>
                        </m:r>
                      </m:sub>
                    </m:sSub>
                    <m:r>
                      <a:rPr lang="en-US" sz="1100" b="0" i="1">
                        <a:latin typeface="Cambria Math" panose="02040503050406030204" pitchFamily="18" charset="0"/>
                      </a:rPr>
                      <m:t>−</m:t>
                    </m:r>
                    <m:acc>
                      <m:accPr>
                        <m:chr m:val="̂"/>
                        <m:ctrlPr>
                          <a:rPr lang="en-US" sz="1100" b="0" i="1">
                            <a:latin typeface="Cambria Math" panose="02040503050406030204" pitchFamily="18" charset="0"/>
                          </a:rPr>
                        </m:ctrlPr>
                      </m:accPr>
                      <m:e>
                        <m:r>
                          <a:rPr lang="en-US" sz="1100" b="0" i="1">
                            <a:latin typeface="Cambria Math" panose="02040503050406030204" pitchFamily="18" charset="0"/>
                          </a:rPr>
                          <m:t>𝑦</m:t>
                        </m:r>
                      </m:e>
                    </m:acc>
                  </m:oMath>
                </m:oMathPara>
              </a14:m>
              <a:endParaRPr lang="en-US" sz="1100"/>
            </a:p>
          </xdr:txBody>
        </xdr:sp>
      </mc:Choice>
      <mc:Fallback xmlns="">
        <xdr:sp macro="" textlink="">
          <xdr:nvSpPr>
            <xdr:cNvPr id="5" name="TextBox 4">
              <a:extLst>
                <a:ext uri="{FF2B5EF4-FFF2-40B4-BE49-F238E27FC236}">
                  <a16:creationId xmlns:a16="http://schemas.microsoft.com/office/drawing/2014/main" id="{B1E2C699-AD18-4D87-9B71-5CCE1EB94E2A}"/>
                </a:ext>
              </a:extLst>
            </xdr:cNvPr>
            <xdr:cNvSpPr txBox="1"/>
          </xdr:nvSpPr>
          <xdr:spPr>
            <a:xfrm>
              <a:off x="10782300" y="6648450"/>
              <a:ext cx="54008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𝐿:𝑦_𝑖−𝑦 ̂</a:t>
              </a:r>
              <a:endParaRPr lang="en-US" sz="1100"/>
            </a:p>
          </xdr:txBody>
        </xdr:sp>
      </mc:Fallback>
    </mc:AlternateContent>
    <xdr:clientData/>
  </xdr:oneCellAnchor>
  <xdr:oneCellAnchor>
    <xdr:from>
      <xdr:col>12</xdr:col>
      <xdr:colOff>552450</xdr:colOff>
      <xdr:row>55</xdr:row>
      <xdr:rowOff>28575</xdr:rowOff>
    </xdr:from>
    <xdr:ext cx="164148" cy="175369"/>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12249150" y="6667500"/>
              <a:ext cx="164148"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2</m:t>
                        </m:r>
                      </m:sup>
                    </m:sSup>
                  </m:oMath>
                </m:oMathPara>
              </a14:m>
              <a:endParaRPr lang="en-US" sz="1100"/>
            </a:p>
          </xdr:txBody>
        </xdr:sp>
      </mc:Choice>
      <mc:Fallback xmlns="">
        <xdr:sp macro="" textlink="">
          <xdr:nvSpPr>
            <xdr:cNvPr id="24" name="TextBox 23">
              <a:extLst>
                <a:ext uri="{FF2B5EF4-FFF2-40B4-BE49-F238E27FC236}">
                  <a16:creationId xmlns:a16="http://schemas.microsoft.com/office/drawing/2014/main" id="{DD07A30B-C9DB-4112-9BE3-EFBBC0936F93}"/>
                </a:ext>
              </a:extLst>
            </xdr:cNvPr>
            <xdr:cNvSpPr txBox="1"/>
          </xdr:nvSpPr>
          <xdr:spPr>
            <a:xfrm>
              <a:off x="12249150" y="6667500"/>
              <a:ext cx="164148"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𝐿^2</a:t>
              </a:r>
              <a:endParaRPr lang="en-US" sz="1100"/>
            </a:p>
          </xdr:txBody>
        </xdr:sp>
      </mc:Fallback>
    </mc:AlternateContent>
    <xdr:clientData/>
  </xdr:oneCellAnchor>
  <xdr:oneCellAnchor>
    <xdr:from>
      <xdr:col>13</xdr:col>
      <xdr:colOff>466725</xdr:colOff>
      <xdr:row>55</xdr:row>
      <xdr:rowOff>9525</xdr:rowOff>
    </xdr:from>
    <xdr:ext cx="553100" cy="172227"/>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13477875" y="6648450"/>
              <a:ext cx="5531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𝑦</m:t>
                        </m:r>
                      </m:e>
                      <m:sub>
                        <m:r>
                          <a:rPr lang="en-US" sz="1100" b="0" i="1">
                            <a:latin typeface="Cambria Math" panose="02040503050406030204" pitchFamily="18" charset="0"/>
                          </a:rPr>
                          <m:t>𝑖</m:t>
                        </m:r>
                      </m:sub>
                    </m:sSub>
                    <m:r>
                      <a:rPr lang="en-US" sz="1100" b="0" i="1">
                        <a:latin typeface="Cambria Math" panose="02040503050406030204" pitchFamily="18" charset="0"/>
                      </a:rPr>
                      <m:t>−</m:t>
                    </m:r>
                    <m:acc>
                      <m:accPr>
                        <m:chr m:val="̂"/>
                        <m:ctrlPr>
                          <a:rPr lang="en-US" sz="1100" b="0" i="1">
                            <a:latin typeface="Cambria Math" panose="02040503050406030204" pitchFamily="18" charset="0"/>
                          </a:rPr>
                        </m:ctrlPr>
                      </m:accPr>
                      <m:e>
                        <m:r>
                          <a:rPr lang="en-US" sz="1100" b="0" i="1">
                            <a:latin typeface="Cambria Math" panose="02040503050406030204" pitchFamily="18" charset="0"/>
                          </a:rPr>
                          <m:t>𝑦</m:t>
                        </m:r>
                      </m:e>
                    </m:acc>
                  </m:oMath>
                </m:oMathPara>
              </a14:m>
              <a:endParaRPr lang="en-US" sz="1100"/>
            </a:p>
          </xdr:txBody>
        </xdr:sp>
      </mc:Choice>
      <mc:Fallback xmlns="">
        <xdr:sp macro="" textlink="">
          <xdr:nvSpPr>
            <xdr:cNvPr id="25" name="TextBox 24">
              <a:extLst>
                <a:ext uri="{FF2B5EF4-FFF2-40B4-BE49-F238E27FC236}">
                  <a16:creationId xmlns:a16="http://schemas.microsoft.com/office/drawing/2014/main" id="{98D24F53-56B2-4551-8285-9745BAC95876}"/>
                </a:ext>
              </a:extLst>
            </xdr:cNvPr>
            <xdr:cNvSpPr txBox="1"/>
          </xdr:nvSpPr>
          <xdr:spPr>
            <a:xfrm>
              <a:off x="13477875" y="6648450"/>
              <a:ext cx="5531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𝑃:𝑦_𝑖−𝑦 ̂</a:t>
              </a:r>
              <a:endParaRPr lang="en-US" sz="1100"/>
            </a:p>
          </xdr:txBody>
        </xdr:sp>
      </mc:Fallback>
    </mc:AlternateContent>
    <xdr:clientData/>
  </xdr:oneCellAnchor>
  <xdr:oneCellAnchor>
    <xdr:from>
      <xdr:col>14</xdr:col>
      <xdr:colOff>619125</xdr:colOff>
      <xdr:row>55</xdr:row>
      <xdr:rowOff>28575</xdr:rowOff>
    </xdr:from>
    <xdr:ext cx="188193" cy="175369"/>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14944725" y="6667500"/>
              <a:ext cx="188193"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1100" b="0" i="1">
                            <a:latin typeface="Cambria Math" panose="02040503050406030204" pitchFamily="18" charset="0"/>
                          </a:rPr>
                        </m:ctrlPr>
                      </m:sSupPr>
                      <m:e>
                        <m:r>
                          <a:rPr lang="en-US" sz="1100" b="0" i="1">
                            <a:latin typeface="Cambria Math" panose="02040503050406030204" pitchFamily="18" charset="0"/>
                          </a:rPr>
                          <m:t>𝑃</m:t>
                        </m:r>
                      </m:e>
                      <m:sup>
                        <m:r>
                          <a:rPr lang="en-US" sz="1100" b="0" i="1">
                            <a:latin typeface="Cambria Math" panose="02040503050406030204" pitchFamily="18" charset="0"/>
                          </a:rPr>
                          <m:t>2</m:t>
                        </m:r>
                      </m:sup>
                    </m:sSup>
                  </m:oMath>
                </m:oMathPara>
              </a14:m>
              <a:endParaRPr lang="en-US" sz="1100"/>
            </a:p>
          </xdr:txBody>
        </xdr:sp>
      </mc:Choice>
      <mc:Fallback xmlns="">
        <xdr:sp macro="" textlink="">
          <xdr:nvSpPr>
            <xdr:cNvPr id="26" name="TextBox 25">
              <a:extLst>
                <a:ext uri="{FF2B5EF4-FFF2-40B4-BE49-F238E27FC236}">
                  <a16:creationId xmlns:a16="http://schemas.microsoft.com/office/drawing/2014/main" id="{0E4039EF-664F-40B4-8018-28521EEC5A36}"/>
                </a:ext>
              </a:extLst>
            </xdr:cNvPr>
            <xdr:cNvSpPr txBox="1"/>
          </xdr:nvSpPr>
          <xdr:spPr>
            <a:xfrm>
              <a:off x="14944725" y="6667500"/>
              <a:ext cx="188193"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𝑃^2</a:t>
              </a:r>
              <a:endParaRPr lang="en-US" sz="1100"/>
            </a:p>
          </xdr:txBody>
        </xdr:sp>
      </mc:Fallback>
    </mc:AlternateContent>
    <xdr:clientData/>
  </xdr:oneCellAnchor>
  <xdr:oneCellAnchor>
    <xdr:from>
      <xdr:col>15</xdr:col>
      <xdr:colOff>390525</xdr:colOff>
      <xdr:row>55</xdr:row>
      <xdr:rowOff>9525</xdr:rowOff>
    </xdr:from>
    <xdr:ext cx="555793" cy="172227"/>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16030575" y="6648450"/>
              <a:ext cx="55579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𝐸</m:t>
                    </m:r>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𝑦</m:t>
                        </m:r>
                      </m:e>
                      <m:sub>
                        <m:r>
                          <a:rPr lang="en-US" sz="1100" b="0" i="1">
                            <a:latin typeface="Cambria Math" panose="02040503050406030204" pitchFamily="18" charset="0"/>
                          </a:rPr>
                          <m:t>𝑖</m:t>
                        </m:r>
                      </m:sub>
                    </m:sSub>
                    <m:r>
                      <a:rPr lang="en-US" sz="1100" b="0" i="1">
                        <a:latin typeface="Cambria Math" panose="02040503050406030204" pitchFamily="18" charset="0"/>
                      </a:rPr>
                      <m:t>−</m:t>
                    </m:r>
                    <m:acc>
                      <m:accPr>
                        <m:chr m:val="̂"/>
                        <m:ctrlPr>
                          <a:rPr lang="en-US" sz="1100" b="0" i="1">
                            <a:latin typeface="Cambria Math" panose="02040503050406030204" pitchFamily="18" charset="0"/>
                          </a:rPr>
                        </m:ctrlPr>
                      </m:accPr>
                      <m:e>
                        <m:r>
                          <a:rPr lang="en-US" sz="1100" b="0" i="1">
                            <a:latin typeface="Cambria Math" panose="02040503050406030204" pitchFamily="18" charset="0"/>
                          </a:rPr>
                          <m:t>𝑦</m:t>
                        </m:r>
                      </m:e>
                    </m:acc>
                  </m:oMath>
                </m:oMathPara>
              </a14:m>
              <a:endParaRPr lang="en-US" sz="1100"/>
            </a:p>
          </xdr:txBody>
        </xdr:sp>
      </mc:Choice>
      <mc:Fallback xmlns="">
        <xdr:sp macro="" textlink="">
          <xdr:nvSpPr>
            <xdr:cNvPr id="27" name="TextBox 26">
              <a:extLst>
                <a:ext uri="{FF2B5EF4-FFF2-40B4-BE49-F238E27FC236}">
                  <a16:creationId xmlns:a16="http://schemas.microsoft.com/office/drawing/2014/main" id="{950C7149-E32B-46F4-A44B-E2A8F2A3FC6F}"/>
                </a:ext>
              </a:extLst>
            </xdr:cNvPr>
            <xdr:cNvSpPr txBox="1"/>
          </xdr:nvSpPr>
          <xdr:spPr>
            <a:xfrm>
              <a:off x="16030575" y="6648450"/>
              <a:ext cx="55579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𝐸:𝑦_𝑖−𝑦 ̂</a:t>
              </a:r>
              <a:endParaRPr lang="en-US" sz="1100"/>
            </a:p>
          </xdr:txBody>
        </xdr:sp>
      </mc:Fallback>
    </mc:AlternateContent>
    <xdr:clientData/>
  </xdr:oneCellAnchor>
  <xdr:oneCellAnchor>
    <xdr:from>
      <xdr:col>16</xdr:col>
      <xdr:colOff>542925</xdr:colOff>
      <xdr:row>55</xdr:row>
      <xdr:rowOff>28575</xdr:rowOff>
    </xdr:from>
    <xdr:ext cx="190885" cy="175369"/>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17497425" y="6667500"/>
              <a:ext cx="190885"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1100" b="0" i="1">
                            <a:latin typeface="Cambria Math" panose="02040503050406030204" pitchFamily="18" charset="0"/>
                          </a:rPr>
                        </m:ctrlPr>
                      </m:sSupPr>
                      <m:e>
                        <m:r>
                          <a:rPr lang="en-US" sz="1100" b="0" i="1">
                            <a:latin typeface="Cambria Math" panose="02040503050406030204" pitchFamily="18" charset="0"/>
                          </a:rPr>
                          <m:t>𝐸</m:t>
                        </m:r>
                      </m:e>
                      <m:sup>
                        <m:r>
                          <a:rPr lang="en-US" sz="1100" b="0" i="1">
                            <a:latin typeface="Cambria Math" panose="02040503050406030204" pitchFamily="18" charset="0"/>
                          </a:rPr>
                          <m:t>2</m:t>
                        </m:r>
                      </m:sup>
                    </m:sSup>
                  </m:oMath>
                </m:oMathPara>
              </a14:m>
              <a:endParaRPr lang="en-US" sz="1100"/>
            </a:p>
          </xdr:txBody>
        </xdr:sp>
      </mc:Choice>
      <mc:Fallback xmlns="">
        <xdr:sp macro="" textlink="">
          <xdr:nvSpPr>
            <xdr:cNvPr id="28" name="TextBox 27">
              <a:extLst>
                <a:ext uri="{FF2B5EF4-FFF2-40B4-BE49-F238E27FC236}">
                  <a16:creationId xmlns:a16="http://schemas.microsoft.com/office/drawing/2014/main" id="{E2850326-1FD3-446A-9C98-C2FE0505A4C5}"/>
                </a:ext>
              </a:extLst>
            </xdr:cNvPr>
            <xdr:cNvSpPr txBox="1"/>
          </xdr:nvSpPr>
          <xdr:spPr>
            <a:xfrm>
              <a:off x="17497425" y="6667500"/>
              <a:ext cx="190885"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𝐸^2</a:t>
              </a:r>
              <a:endParaRPr lang="en-US" sz="1100"/>
            </a:p>
          </xdr:txBody>
        </xdr:sp>
      </mc:Fallback>
    </mc:AlternateContent>
    <xdr:clientData/>
  </xdr:oneCellAnchor>
  <xdr:oneCellAnchor>
    <xdr:from>
      <xdr:col>17</xdr:col>
      <xdr:colOff>523875</xdr:colOff>
      <xdr:row>55</xdr:row>
      <xdr:rowOff>0</xdr:rowOff>
    </xdr:from>
    <xdr:ext cx="154208" cy="172227"/>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8792825" y="6638925"/>
              <a:ext cx="15420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𝑡</m:t>
                        </m:r>
                      </m:sub>
                    </m:sSub>
                  </m:oMath>
                </m:oMathPara>
              </a14:m>
              <a:endParaRPr lang="en-US" sz="1100"/>
            </a:p>
          </xdr:txBody>
        </xdr:sp>
      </mc:Choice>
      <mc:Fallback xmlns="">
        <xdr:sp macro="" textlink="">
          <xdr:nvSpPr>
            <xdr:cNvPr id="30" name="TextBox 29">
              <a:extLst>
                <a:ext uri="{FF2B5EF4-FFF2-40B4-BE49-F238E27FC236}">
                  <a16:creationId xmlns:a16="http://schemas.microsoft.com/office/drawing/2014/main" id="{1AA98B23-454F-47D4-BD72-4FCD9FC590AC}"/>
                </a:ext>
              </a:extLst>
            </xdr:cNvPr>
            <xdr:cNvSpPr txBox="1"/>
          </xdr:nvSpPr>
          <xdr:spPr>
            <a:xfrm>
              <a:off x="18792825" y="6638925"/>
              <a:ext cx="15420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𝑆_𝑡</a:t>
              </a:r>
              <a:endParaRPr lang="en-US" sz="1100"/>
            </a:p>
          </xdr:txBody>
        </xdr:sp>
      </mc:Fallback>
    </mc:AlternateContent>
    <xdr:clientData/>
  </xdr:oneCellAnchor>
  <xdr:twoCellAnchor editAs="oneCell">
    <xdr:from>
      <xdr:col>5</xdr:col>
      <xdr:colOff>66675</xdr:colOff>
      <xdr:row>2</xdr:row>
      <xdr:rowOff>58435</xdr:rowOff>
    </xdr:from>
    <xdr:to>
      <xdr:col>10</xdr:col>
      <xdr:colOff>371476</xdr:colOff>
      <xdr:row>13</xdr:row>
      <xdr:rowOff>185515</xdr:rowOff>
    </xdr:to>
    <xdr:pic>
      <xdr:nvPicPr>
        <xdr:cNvPr id="31" name="Picture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9"/>
        <a:stretch>
          <a:fillRect/>
        </a:stretch>
      </xdr:blipFill>
      <xdr:spPr>
        <a:xfrm>
          <a:off x="4067175" y="487060"/>
          <a:ext cx="5686426" cy="22225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66675</xdr:colOff>
      <xdr:row>31</xdr:row>
      <xdr:rowOff>66675</xdr:rowOff>
    </xdr:from>
    <xdr:ext cx="1517851" cy="22307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895475" y="3733800"/>
              <a:ext cx="1517851" cy="22307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𝑦</m:t>
                    </m:r>
                    <m:r>
                      <a:rPr lang="en-US" sz="1400" b="0" i="1">
                        <a:latin typeface="Cambria Math" panose="02040503050406030204" pitchFamily="18" charset="0"/>
                      </a:rPr>
                      <m:t>=2</m:t>
                    </m:r>
                    <m:r>
                      <a:rPr lang="en-US" sz="1400" b="0" i="1">
                        <a:latin typeface="Cambria Math" panose="02040503050406030204" pitchFamily="18" charset="0"/>
                      </a:rPr>
                      <m:t>𝑡</m:t>
                    </m:r>
                    <m:r>
                      <a:rPr lang="en-US" sz="1400" b="0" i="1">
                        <a:latin typeface="Cambria Math" panose="02040503050406030204" pitchFamily="18" charset="0"/>
                      </a:rPr>
                      <m:t>+3</m:t>
                    </m:r>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−2</m:t>
                        </m:r>
                        <m:r>
                          <a:rPr lang="en-US" sz="1400" b="0" i="1">
                            <a:latin typeface="Cambria Math" panose="02040503050406030204" pitchFamily="18" charset="0"/>
                          </a:rPr>
                          <m:t>𝑡</m:t>
                        </m:r>
                      </m:sup>
                    </m:sSup>
                    <m:r>
                      <a:rPr lang="en-US" sz="1400" b="0" i="1">
                        <a:latin typeface="Cambria Math" panose="02040503050406030204" pitchFamily="18" charset="0"/>
                      </a:rPr>
                      <m:t>−1</m:t>
                    </m:r>
                  </m:oMath>
                </m:oMathPara>
              </a14:m>
              <a:endParaRPr lang="en-US" sz="1400" b="0"/>
            </a:p>
          </xdr:txBody>
        </xdr:sp>
      </mc:Choice>
      <mc:Fallback xmlns="">
        <xdr:sp macro="" textlink="">
          <xdr:nvSpPr>
            <xdr:cNvPr id="3" name="TextBox 2">
              <a:extLst>
                <a:ext uri="{FF2B5EF4-FFF2-40B4-BE49-F238E27FC236}">
                  <a16:creationId xmlns:a16="http://schemas.microsoft.com/office/drawing/2014/main" id="{139056C6-9434-4F44-9660-08537C237A07}"/>
                </a:ext>
              </a:extLst>
            </xdr:cNvPr>
            <xdr:cNvSpPr txBox="1"/>
          </xdr:nvSpPr>
          <xdr:spPr>
            <a:xfrm>
              <a:off x="1895475" y="3733800"/>
              <a:ext cx="1517851" cy="22307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𝑦=2𝑡+3𝑒^(−2𝑡)−1</a:t>
              </a:r>
              <a:endParaRPr lang="en-US" sz="1400" b="0"/>
            </a:p>
          </xdr:txBody>
        </xdr:sp>
      </mc:Fallback>
    </mc:AlternateContent>
    <xdr:clientData/>
  </xdr:oneCellAnchor>
  <xdr:oneCellAnchor>
    <xdr:from>
      <xdr:col>3</xdr:col>
      <xdr:colOff>76200</xdr:colOff>
      <xdr:row>25</xdr:row>
      <xdr:rowOff>95250</xdr:rowOff>
    </xdr:from>
    <xdr:ext cx="1073564" cy="62818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905000" y="4905375"/>
              <a:ext cx="1073564" cy="62818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400" b="0" i="1">
                            <a:latin typeface="Cambria Math" panose="02040503050406030204" pitchFamily="18" charset="0"/>
                          </a:rPr>
                        </m:ctrlPr>
                      </m:fPr>
                      <m:num>
                        <m:r>
                          <a:rPr lang="en-US" sz="1400" b="0" i="1">
                            <a:latin typeface="Cambria Math" panose="02040503050406030204" pitchFamily="18" charset="0"/>
                          </a:rPr>
                          <m:t>𝑑𝑦</m:t>
                        </m:r>
                      </m:num>
                      <m:den>
                        <m:r>
                          <a:rPr lang="en-US" sz="1400" b="0" i="1">
                            <a:latin typeface="Cambria Math" panose="02040503050406030204" pitchFamily="18" charset="0"/>
                          </a:rPr>
                          <m:t>𝑑𝑡</m:t>
                        </m:r>
                      </m:den>
                    </m:f>
                    <m:r>
                      <a:rPr lang="en-US" sz="1400" b="0" i="1">
                        <a:latin typeface="Cambria Math" panose="02040503050406030204" pitchFamily="18" charset="0"/>
                      </a:rPr>
                      <m:t>=4</m:t>
                    </m:r>
                    <m:r>
                      <a:rPr lang="en-US" sz="1400" b="0" i="1">
                        <a:latin typeface="Cambria Math" panose="02040503050406030204" pitchFamily="18" charset="0"/>
                      </a:rPr>
                      <m:t>𝑡</m:t>
                    </m:r>
                    <m:r>
                      <a:rPr lang="en-US" sz="1400" b="0" i="1">
                        <a:latin typeface="Cambria Math" panose="02040503050406030204" pitchFamily="18" charset="0"/>
                      </a:rPr>
                      <m:t>−2</m:t>
                    </m:r>
                    <m:r>
                      <a:rPr lang="en-US" sz="1400" b="0" i="1">
                        <a:latin typeface="Cambria Math" panose="02040503050406030204" pitchFamily="18" charset="0"/>
                      </a:rPr>
                      <m:t>𝑦</m:t>
                    </m:r>
                  </m:oMath>
                </m:oMathPara>
              </a14:m>
              <a:endParaRPr lang="en-US" sz="1400" b="0"/>
            </a:p>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𝑦</m:t>
                    </m:r>
                    <m:d>
                      <m:dPr>
                        <m:ctrlPr>
                          <a:rPr lang="en-US" sz="1400" b="0" i="1">
                            <a:latin typeface="Cambria Math" panose="02040503050406030204" pitchFamily="18" charset="0"/>
                          </a:rPr>
                        </m:ctrlPr>
                      </m:dPr>
                      <m:e>
                        <m:r>
                          <a:rPr lang="en-US" sz="1400" b="0" i="1">
                            <a:latin typeface="Cambria Math" panose="02040503050406030204" pitchFamily="18" charset="0"/>
                          </a:rPr>
                          <m:t>0</m:t>
                        </m:r>
                      </m:e>
                    </m:d>
                    <m:r>
                      <a:rPr lang="en-US" sz="1400" b="0" i="1">
                        <a:latin typeface="Cambria Math" panose="02040503050406030204" pitchFamily="18" charset="0"/>
                      </a:rPr>
                      <m:t>=2</m:t>
                    </m:r>
                  </m:oMath>
                </m:oMathPara>
              </a14:m>
              <a:endParaRPr lang="en-US" sz="1400" b="0"/>
            </a:p>
          </xdr:txBody>
        </xdr:sp>
      </mc:Choice>
      <mc:Fallback xmlns="">
        <xdr:sp macro="" textlink="">
          <xdr:nvSpPr>
            <xdr:cNvPr id="4" name="TextBox 3">
              <a:extLst>
                <a:ext uri="{FF2B5EF4-FFF2-40B4-BE49-F238E27FC236}">
                  <a16:creationId xmlns:a16="http://schemas.microsoft.com/office/drawing/2014/main" id="{6C00F09C-62EE-49C3-AEC4-8374CB43E6AB}"/>
                </a:ext>
              </a:extLst>
            </xdr:cNvPr>
            <xdr:cNvSpPr txBox="1"/>
          </xdr:nvSpPr>
          <xdr:spPr>
            <a:xfrm>
              <a:off x="1905000" y="4905375"/>
              <a:ext cx="1073564" cy="62818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𝑑𝑦/𝑑𝑡=4𝑡−2𝑦</a:t>
              </a:r>
              <a:endParaRPr lang="en-US" sz="1400" b="0"/>
            </a:p>
            <a:p>
              <a:r>
                <a:rPr lang="en-US" sz="1400" b="0" i="0">
                  <a:latin typeface="Cambria Math" panose="02040503050406030204" pitchFamily="18" charset="0"/>
                </a:rPr>
                <a:t>𝑦(0)=2</a:t>
              </a:r>
              <a:endParaRPr lang="en-US" sz="1400" b="0"/>
            </a:p>
          </xdr:txBody>
        </xdr:sp>
      </mc:Fallback>
    </mc:AlternateContent>
    <xdr:clientData/>
  </xdr:oneCellAnchor>
  <xdr:twoCellAnchor editAs="oneCell">
    <xdr:from>
      <xdr:col>2</xdr:col>
      <xdr:colOff>200025</xdr:colOff>
      <xdr:row>45</xdr:row>
      <xdr:rowOff>123825</xdr:rowOff>
    </xdr:from>
    <xdr:to>
      <xdr:col>6</xdr:col>
      <xdr:colOff>504415</xdr:colOff>
      <xdr:row>48</xdr:row>
      <xdr:rowOff>95182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419225" y="7600950"/>
          <a:ext cx="3276190" cy="542857"/>
        </a:xfrm>
        <a:prstGeom prst="rect">
          <a:avLst/>
        </a:prstGeom>
      </xdr:spPr>
    </xdr:pic>
    <xdr:clientData/>
  </xdr:twoCellAnchor>
  <xdr:twoCellAnchor editAs="oneCell">
    <xdr:from>
      <xdr:col>8</xdr:col>
      <xdr:colOff>104775</xdr:colOff>
      <xdr:row>45</xdr:row>
      <xdr:rowOff>47625</xdr:rowOff>
    </xdr:from>
    <xdr:to>
      <xdr:col>11</xdr:col>
      <xdr:colOff>437833</xdr:colOff>
      <xdr:row>54</xdr:row>
      <xdr:rowOff>123601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5514975" y="7524750"/>
          <a:ext cx="2533333" cy="1790476"/>
        </a:xfrm>
        <a:prstGeom prst="rect">
          <a:avLst/>
        </a:prstGeom>
      </xdr:spPr>
    </xdr:pic>
    <xdr:clientData/>
  </xdr:twoCellAnchor>
  <xdr:twoCellAnchor editAs="oneCell">
    <xdr:from>
      <xdr:col>2</xdr:col>
      <xdr:colOff>314325</xdr:colOff>
      <xdr:row>36</xdr:row>
      <xdr:rowOff>66675</xdr:rowOff>
    </xdr:from>
    <xdr:to>
      <xdr:col>5</xdr:col>
      <xdr:colOff>285492</xdr:colOff>
      <xdr:row>38</xdr:row>
      <xdr:rowOff>57104</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533525" y="4686300"/>
          <a:ext cx="2066667" cy="371429"/>
        </a:xfrm>
        <a:prstGeom prst="rect">
          <a:avLst/>
        </a:prstGeom>
      </xdr:spPr>
    </xdr:pic>
    <xdr:clientData/>
  </xdr:twoCellAnchor>
  <xdr:oneCellAnchor>
    <xdr:from>
      <xdr:col>1</xdr:col>
      <xdr:colOff>114300</xdr:colOff>
      <xdr:row>55</xdr:row>
      <xdr:rowOff>28575</xdr:rowOff>
    </xdr:from>
    <xdr:ext cx="409023" cy="219163"/>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723900" y="10363200"/>
              <a:ext cx="40902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1" i="0">
                        <a:latin typeface="Cambria Math" panose="02040503050406030204" pitchFamily="18" charset="0"/>
                      </a:rPr>
                      <m:t>𝚫</m:t>
                    </m:r>
                    <m:r>
                      <a:rPr lang="en-US" sz="1400" b="1" i="0">
                        <a:latin typeface="Cambria Math" panose="02040503050406030204" pitchFamily="18" charset="0"/>
                      </a:rPr>
                      <m:t>𝐭</m:t>
                    </m:r>
                    <m:r>
                      <a:rPr lang="en-US" sz="1400" b="1" i="0">
                        <a:latin typeface="Cambria Math" panose="02040503050406030204" pitchFamily="18" charset="0"/>
                      </a:rPr>
                      <m:t>=</m:t>
                    </m:r>
                  </m:oMath>
                </m:oMathPara>
              </a14:m>
              <a:endParaRPr lang="en-US" sz="1400" b="1"/>
            </a:p>
          </xdr:txBody>
        </xdr:sp>
      </mc:Choice>
      <mc:Fallback xmlns="">
        <xdr:sp macro="" textlink="">
          <xdr:nvSpPr>
            <xdr:cNvPr id="9" name="TextBox 8">
              <a:extLst>
                <a:ext uri="{FF2B5EF4-FFF2-40B4-BE49-F238E27FC236}">
                  <a16:creationId xmlns:a16="http://schemas.microsoft.com/office/drawing/2014/main" id="{BCD6C9EC-2AB3-4B97-A066-E1F111D8D7B4}"/>
                </a:ext>
              </a:extLst>
            </xdr:cNvPr>
            <xdr:cNvSpPr txBox="1"/>
          </xdr:nvSpPr>
          <xdr:spPr>
            <a:xfrm>
              <a:off x="723900" y="10363200"/>
              <a:ext cx="40902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1" i="0">
                  <a:latin typeface="Cambria Math" panose="02040503050406030204" pitchFamily="18" charset="0"/>
                </a:rPr>
                <a:t>𝚫𝐭=</a:t>
              </a:r>
              <a:endParaRPr lang="en-US" sz="1400" b="1"/>
            </a:p>
          </xdr:txBody>
        </xdr:sp>
      </mc:Fallback>
    </mc:AlternateContent>
    <xdr:clientData/>
  </xdr:oneCellAnchor>
  <xdr:oneCellAnchor>
    <xdr:from>
      <xdr:col>3</xdr:col>
      <xdr:colOff>76200</xdr:colOff>
      <xdr:row>29</xdr:row>
      <xdr:rowOff>38100</xdr:rowOff>
    </xdr:from>
    <xdr:ext cx="692241" cy="219163"/>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905000" y="4467225"/>
              <a:ext cx="692241" cy="21916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400" b="0" i="0">
                        <a:latin typeface="Cambria Math" panose="02040503050406030204" pitchFamily="18" charset="0"/>
                      </a:rPr>
                      <m:t>Δ</m:t>
                    </m:r>
                    <m:r>
                      <a:rPr lang="en-US" sz="1400" b="0" i="1">
                        <a:latin typeface="Cambria Math" panose="02040503050406030204" pitchFamily="18" charset="0"/>
                      </a:rPr>
                      <m:t>𝑡</m:t>
                    </m:r>
                    <m:r>
                      <a:rPr lang="en-US" sz="1400" b="0" i="1">
                        <a:latin typeface="Cambria Math" panose="02040503050406030204" pitchFamily="18" charset="0"/>
                      </a:rPr>
                      <m:t>=0.1</m:t>
                    </m:r>
                  </m:oMath>
                </m:oMathPara>
              </a14:m>
              <a:endParaRPr lang="en-US" sz="1400" b="0"/>
            </a:p>
          </xdr:txBody>
        </xdr:sp>
      </mc:Choice>
      <mc:Fallback xmlns="">
        <xdr:sp macro="" textlink="">
          <xdr:nvSpPr>
            <xdr:cNvPr id="12" name="TextBox 11">
              <a:extLst>
                <a:ext uri="{FF2B5EF4-FFF2-40B4-BE49-F238E27FC236}">
                  <a16:creationId xmlns:a16="http://schemas.microsoft.com/office/drawing/2014/main" id="{C966A8EA-B1E0-40E4-8F69-4AE65208FF49}"/>
                </a:ext>
              </a:extLst>
            </xdr:cNvPr>
            <xdr:cNvSpPr txBox="1"/>
          </xdr:nvSpPr>
          <xdr:spPr>
            <a:xfrm>
              <a:off x="1905000" y="4467225"/>
              <a:ext cx="692241" cy="21916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Δ𝑡=0.1</a:t>
              </a:r>
              <a:endParaRPr lang="en-US" sz="1400" b="0"/>
            </a:p>
          </xdr:txBody>
        </xdr:sp>
      </mc:Fallback>
    </mc:AlternateContent>
    <xdr:clientData/>
  </xdr:oneCellAnchor>
  <xdr:oneCellAnchor>
    <xdr:from>
      <xdr:col>1</xdr:col>
      <xdr:colOff>290512</xdr:colOff>
      <xdr:row>57</xdr:row>
      <xdr:rowOff>42862</xdr:rowOff>
    </xdr:from>
    <xdr:ext cx="134396" cy="187872"/>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1090612" y="57959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1">
                        <a:latin typeface="Cambria Math" panose="02040503050406030204" pitchFamily="18" charset="0"/>
                      </a:rPr>
                      <m:t>𝒏</m:t>
                    </m:r>
                  </m:oMath>
                </m:oMathPara>
              </a14:m>
              <a:endParaRPr lang="en-US" sz="1200" b="1"/>
            </a:p>
          </xdr:txBody>
        </xdr:sp>
      </mc:Choice>
      <mc:Fallback xmlns="">
        <xdr:sp macro="" textlink="">
          <xdr:nvSpPr>
            <xdr:cNvPr id="13" name="TextBox 12">
              <a:extLst>
                <a:ext uri="{FF2B5EF4-FFF2-40B4-BE49-F238E27FC236}">
                  <a16:creationId xmlns:a16="http://schemas.microsoft.com/office/drawing/2014/main" id="{2265489D-197E-4BD4-9831-E6F50525F4AB}"/>
                </a:ext>
              </a:extLst>
            </xdr:cNvPr>
            <xdr:cNvSpPr txBox="1"/>
          </xdr:nvSpPr>
          <xdr:spPr>
            <a:xfrm>
              <a:off x="1090612" y="57959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𝒏</a:t>
              </a:r>
              <a:endParaRPr lang="en-US" sz="1200" b="1"/>
            </a:p>
          </xdr:txBody>
        </xdr:sp>
      </mc:Fallback>
    </mc:AlternateContent>
    <xdr:clientData/>
  </xdr:oneCellAnchor>
  <xdr:oneCellAnchor>
    <xdr:from>
      <xdr:col>2</xdr:col>
      <xdr:colOff>271462</xdr:colOff>
      <xdr:row>57</xdr:row>
      <xdr:rowOff>42862</xdr:rowOff>
    </xdr:from>
    <xdr:ext cx="178446" cy="187872"/>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1757362" y="57959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𝒕</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14" name="TextBox 13">
              <a:extLst>
                <a:ext uri="{FF2B5EF4-FFF2-40B4-BE49-F238E27FC236}">
                  <a16:creationId xmlns:a16="http://schemas.microsoft.com/office/drawing/2014/main" id="{2BB8B306-7BDC-4936-81EA-574064220F72}"/>
                </a:ext>
              </a:extLst>
            </xdr:cNvPr>
            <xdr:cNvSpPr txBox="1"/>
          </xdr:nvSpPr>
          <xdr:spPr>
            <a:xfrm>
              <a:off x="1757362" y="57959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𝒕_𝒏</a:t>
              </a:r>
              <a:endParaRPr lang="en-US" sz="1200" b="1"/>
            </a:p>
          </xdr:txBody>
        </xdr:sp>
      </mc:Fallback>
    </mc:AlternateContent>
    <xdr:clientData/>
  </xdr:oneCellAnchor>
  <xdr:oneCellAnchor>
    <xdr:from>
      <xdr:col>3</xdr:col>
      <xdr:colOff>252412</xdr:colOff>
      <xdr:row>57</xdr:row>
      <xdr:rowOff>33337</xdr:rowOff>
    </xdr:from>
    <xdr:ext cx="205826" cy="187872"/>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2424112" y="5786437"/>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𝒚</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15" name="TextBox 14">
              <a:extLst>
                <a:ext uri="{FF2B5EF4-FFF2-40B4-BE49-F238E27FC236}">
                  <a16:creationId xmlns:a16="http://schemas.microsoft.com/office/drawing/2014/main" id="{4C752ABF-B5AE-4DF5-B499-97B0A6D343BE}"/>
                </a:ext>
              </a:extLst>
            </xdr:cNvPr>
            <xdr:cNvSpPr txBox="1"/>
          </xdr:nvSpPr>
          <xdr:spPr>
            <a:xfrm>
              <a:off x="2424112" y="5786437"/>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𝒚_𝒏</a:t>
              </a:r>
              <a:endParaRPr lang="en-US" sz="1200" b="1"/>
            </a:p>
          </xdr:txBody>
        </xdr:sp>
      </mc:Fallback>
    </mc:AlternateContent>
    <xdr:clientData/>
  </xdr:oneCellAnchor>
  <xdr:oneCellAnchor>
    <xdr:from>
      <xdr:col>5</xdr:col>
      <xdr:colOff>214312</xdr:colOff>
      <xdr:row>57</xdr:row>
      <xdr:rowOff>42862</xdr:rowOff>
    </xdr:from>
    <xdr:ext cx="214802" cy="18787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400-000010000000}"/>
                </a:ext>
              </a:extLst>
            </xdr:cNvPr>
            <xdr:cNvSpPr txBox="1"/>
          </xdr:nvSpPr>
          <xdr:spPr>
            <a:xfrm>
              <a:off x="3833812" y="5795962"/>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𝑬</m:t>
                        </m:r>
                      </m:e>
                      <m:sub>
                        <m:r>
                          <a:rPr lang="en-US" sz="1200" b="1" i="1">
                            <a:latin typeface="Cambria Math" panose="02040503050406030204" pitchFamily="18" charset="0"/>
                          </a:rPr>
                          <m:t>𝑻</m:t>
                        </m:r>
                      </m:sub>
                    </m:sSub>
                  </m:oMath>
                </m:oMathPara>
              </a14:m>
              <a:endParaRPr lang="en-US" sz="1200" b="1"/>
            </a:p>
          </xdr:txBody>
        </xdr:sp>
      </mc:Choice>
      <mc:Fallback xmlns="">
        <xdr:sp macro="" textlink="">
          <xdr:nvSpPr>
            <xdr:cNvPr id="16" name="TextBox 15">
              <a:extLst>
                <a:ext uri="{FF2B5EF4-FFF2-40B4-BE49-F238E27FC236}">
                  <a16:creationId xmlns:a16="http://schemas.microsoft.com/office/drawing/2014/main" id="{2B7AD73B-B0BF-4655-A1A1-73B1D22B27A0}"/>
                </a:ext>
              </a:extLst>
            </xdr:cNvPr>
            <xdr:cNvSpPr txBox="1"/>
          </xdr:nvSpPr>
          <xdr:spPr>
            <a:xfrm>
              <a:off x="3833812" y="5795962"/>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𝑬_𝑻</a:t>
              </a:r>
              <a:endParaRPr lang="en-US" sz="1200" b="1"/>
            </a:p>
          </xdr:txBody>
        </xdr:sp>
      </mc:Fallback>
    </mc:AlternateContent>
    <xdr:clientData/>
  </xdr:oneCellAnchor>
  <xdr:twoCellAnchor editAs="oneCell">
    <xdr:from>
      <xdr:col>2</xdr:col>
      <xdr:colOff>102320</xdr:colOff>
      <xdr:row>1</xdr:row>
      <xdr:rowOff>19050</xdr:rowOff>
    </xdr:from>
    <xdr:to>
      <xdr:col>9</xdr:col>
      <xdr:colOff>714375</xdr:colOff>
      <xdr:row>22</xdr:row>
      <xdr:rowOff>117098</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4"/>
        <a:stretch>
          <a:fillRect/>
        </a:stretch>
      </xdr:blipFill>
      <xdr:spPr>
        <a:xfrm>
          <a:off x="1321520" y="257175"/>
          <a:ext cx="5631730" cy="4098548"/>
        </a:xfrm>
        <a:prstGeom prst="rect">
          <a:avLst/>
        </a:prstGeom>
      </xdr:spPr>
    </xdr:pic>
    <xdr:clientData/>
  </xdr:twoCellAnchor>
  <xdr:twoCellAnchor>
    <xdr:from>
      <xdr:col>6</xdr:col>
      <xdr:colOff>257175</xdr:colOff>
      <xdr:row>55</xdr:row>
      <xdr:rowOff>142875</xdr:rowOff>
    </xdr:from>
    <xdr:to>
      <xdr:col>19</xdr:col>
      <xdr:colOff>390525</xdr:colOff>
      <xdr:row>69</xdr:row>
      <xdr:rowOff>104775</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290512</xdr:colOff>
      <xdr:row>74</xdr:row>
      <xdr:rowOff>42862</xdr:rowOff>
    </xdr:from>
    <xdr:ext cx="134396" cy="187872"/>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090612" y="9158287"/>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1">
                        <a:latin typeface="Cambria Math" panose="02040503050406030204" pitchFamily="18" charset="0"/>
                      </a:rPr>
                      <m:t>𝒏</m:t>
                    </m:r>
                  </m:oMath>
                </m:oMathPara>
              </a14:m>
              <a:endParaRPr lang="en-US" sz="1200" b="1"/>
            </a:p>
          </xdr:txBody>
        </xdr:sp>
      </mc:Choice>
      <mc:Fallback xmlns="">
        <xdr:sp macro="" textlink="">
          <xdr:nvSpPr>
            <xdr:cNvPr id="19" name="TextBox 18">
              <a:extLst>
                <a:ext uri="{FF2B5EF4-FFF2-40B4-BE49-F238E27FC236}">
                  <a16:creationId xmlns:a16="http://schemas.microsoft.com/office/drawing/2014/main" id="{0E68B09D-FAE7-462C-AA98-D6A242B388EC}"/>
                </a:ext>
              </a:extLst>
            </xdr:cNvPr>
            <xdr:cNvSpPr txBox="1"/>
          </xdr:nvSpPr>
          <xdr:spPr>
            <a:xfrm>
              <a:off x="1090612" y="9158287"/>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𝒏</a:t>
              </a:r>
              <a:endParaRPr lang="en-US" sz="1200" b="1"/>
            </a:p>
          </xdr:txBody>
        </xdr:sp>
      </mc:Fallback>
    </mc:AlternateContent>
    <xdr:clientData/>
  </xdr:oneCellAnchor>
  <xdr:oneCellAnchor>
    <xdr:from>
      <xdr:col>2</xdr:col>
      <xdr:colOff>271462</xdr:colOff>
      <xdr:row>74</xdr:row>
      <xdr:rowOff>42862</xdr:rowOff>
    </xdr:from>
    <xdr:ext cx="178446" cy="187872"/>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1757362" y="9158287"/>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𝒕</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20" name="TextBox 19">
              <a:extLst>
                <a:ext uri="{FF2B5EF4-FFF2-40B4-BE49-F238E27FC236}">
                  <a16:creationId xmlns:a16="http://schemas.microsoft.com/office/drawing/2014/main" id="{EC44D404-9423-408A-BFDC-7FE6881ADF81}"/>
                </a:ext>
              </a:extLst>
            </xdr:cNvPr>
            <xdr:cNvSpPr txBox="1"/>
          </xdr:nvSpPr>
          <xdr:spPr>
            <a:xfrm>
              <a:off x="1757362" y="9158287"/>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𝒕_𝒏</a:t>
              </a:r>
              <a:endParaRPr lang="en-US" sz="1200" b="1"/>
            </a:p>
          </xdr:txBody>
        </xdr:sp>
      </mc:Fallback>
    </mc:AlternateContent>
    <xdr:clientData/>
  </xdr:oneCellAnchor>
  <xdr:oneCellAnchor>
    <xdr:from>
      <xdr:col>3</xdr:col>
      <xdr:colOff>252412</xdr:colOff>
      <xdr:row>74</xdr:row>
      <xdr:rowOff>33337</xdr:rowOff>
    </xdr:from>
    <xdr:ext cx="205826" cy="187872"/>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2424112" y="9148762"/>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200" b="1" i="1">
                            <a:latin typeface="Cambria Math" panose="02040503050406030204" pitchFamily="18" charset="0"/>
                          </a:rPr>
                        </m:ctrlPr>
                      </m:sSubSupPr>
                      <m:e>
                        <m:r>
                          <a:rPr lang="en-US" sz="1200" b="1" i="1">
                            <a:latin typeface="Cambria Math" panose="02040503050406030204" pitchFamily="18" charset="0"/>
                          </a:rPr>
                          <m:t>𝒚</m:t>
                        </m:r>
                      </m:e>
                      <m:sub>
                        <m:r>
                          <a:rPr lang="en-US" sz="1200" b="1" i="1">
                            <a:latin typeface="Cambria Math" panose="02040503050406030204" pitchFamily="18" charset="0"/>
                          </a:rPr>
                          <m:t>𝒏</m:t>
                        </m:r>
                      </m:sub>
                      <m:sup>
                        <m:r>
                          <a:rPr lang="en-US" sz="1200" b="1" i="1">
                            <a:latin typeface="Cambria Math" panose="02040503050406030204" pitchFamily="18" charset="0"/>
                          </a:rPr>
                          <m:t>∗</m:t>
                        </m:r>
                      </m:sup>
                    </m:sSubSup>
                  </m:oMath>
                </m:oMathPara>
              </a14:m>
              <a:endParaRPr lang="en-US" sz="1200" b="1"/>
            </a:p>
          </xdr:txBody>
        </xdr:sp>
      </mc:Choice>
      <mc:Fallback xmlns="">
        <xdr:sp macro="" textlink="">
          <xdr:nvSpPr>
            <xdr:cNvPr id="21" name="TextBox 20">
              <a:extLst>
                <a:ext uri="{FF2B5EF4-FFF2-40B4-BE49-F238E27FC236}">
                  <a16:creationId xmlns:a16="http://schemas.microsoft.com/office/drawing/2014/main" id="{3CBFBC2F-9CC9-4FC9-8DF0-DB9E6E58125B}"/>
                </a:ext>
              </a:extLst>
            </xdr:cNvPr>
            <xdr:cNvSpPr txBox="1"/>
          </xdr:nvSpPr>
          <xdr:spPr>
            <a:xfrm>
              <a:off x="2424112" y="9148762"/>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𝒚_𝒏^∗</a:t>
              </a:r>
              <a:endParaRPr lang="en-US" sz="1200" b="1"/>
            </a:p>
          </xdr:txBody>
        </xdr:sp>
      </mc:Fallback>
    </mc:AlternateContent>
    <xdr:clientData/>
  </xdr:oneCellAnchor>
  <xdr:oneCellAnchor>
    <xdr:from>
      <xdr:col>4</xdr:col>
      <xdr:colOff>247650</xdr:colOff>
      <xdr:row>74</xdr:row>
      <xdr:rowOff>28575</xdr:rowOff>
    </xdr:from>
    <xdr:ext cx="205826" cy="187872"/>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3105150" y="9144000"/>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𝒚</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22" name="TextBox 21">
              <a:extLst>
                <a:ext uri="{FF2B5EF4-FFF2-40B4-BE49-F238E27FC236}">
                  <a16:creationId xmlns:a16="http://schemas.microsoft.com/office/drawing/2014/main" id="{E45AE823-AAE1-4CD8-BD59-1916790B4756}"/>
                </a:ext>
              </a:extLst>
            </xdr:cNvPr>
            <xdr:cNvSpPr txBox="1"/>
          </xdr:nvSpPr>
          <xdr:spPr>
            <a:xfrm>
              <a:off x="3105150" y="9144000"/>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𝒚_𝒏</a:t>
              </a:r>
              <a:endParaRPr lang="en-US" sz="1200" b="1"/>
            </a:p>
          </xdr:txBody>
        </xdr:sp>
      </mc:Fallback>
    </mc:AlternateContent>
    <xdr:clientData/>
  </xdr:oneCellAnchor>
  <xdr:oneCellAnchor>
    <xdr:from>
      <xdr:col>6</xdr:col>
      <xdr:colOff>214312</xdr:colOff>
      <xdr:row>74</xdr:row>
      <xdr:rowOff>42862</xdr:rowOff>
    </xdr:from>
    <xdr:ext cx="214802" cy="187872"/>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4557712" y="9158287"/>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𝑬</m:t>
                        </m:r>
                      </m:e>
                      <m:sub>
                        <m:r>
                          <a:rPr lang="en-US" sz="1200" b="1" i="1">
                            <a:latin typeface="Cambria Math" panose="02040503050406030204" pitchFamily="18" charset="0"/>
                          </a:rPr>
                          <m:t>𝑻</m:t>
                        </m:r>
                      </m:sub>
                    </m:sSub>
                  </m:oMath>
                </m:oMathPara>
              </a14:m>
              <a:endParaRPr lang="en-US" sz="1200" b="1"/>
            </a:p>
          </xdr:txBody>
        </xdr:sp>
      </mc:Choice>
      <mc:Fallback xmlns="">
        <xdr:sp macro="" textlink="">
          <xdr:nvSpPr>
            <xdr:cNvPr id="23" name="TextBox 22">
              <a:extLst>
                <a:ext uri="{FF2B5EF4-FFF2-40B4-BE49-F238E27FC236}">
                  <a16:creationId xmlns:a16="http://schemas.microsoft.com/office/drawing/2014/main" id="{B5712609-C148-43BC-AD58-7C0BCB8095A0}"/>
                </a:ext>
              </a:extLst>
            </xdr:cNvPr>
            <xdr:cNvSpPr txBox="1"/>
          </xdr:nvSpPr>
          <xdr:spPr>
            <a:xfrm>
              <a:off x="4557712" y="9158287"/>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𝑬_𝑻</a:t>
              </a:r>
              <a:endParaRPr lang="en-US" sz="1200" b="1"/>
            </a:p>
          </xdr:txBody>
        </xdr:sp>
      </mc:Fallback>
    </mc:AlternateContent>
    <xdr:clientData/>
  </xdr:oneCellAnchor>
  <xdr:twoCellAnchor>
    <xdr:from>
      <xdr:col>7</xdr:col>
      <xdr:colOff>119062</xdr:colOff>
      <xdr:row>74</xdr:row>
      <xdr:rowOff>57150</xdr:rowOff>
    </xdr:from>
    <xdr:to>
      <xdr:col>20</xdr:col>
      <xdr:colOff>438150</xdr:colOff>
      <xdr:row>93</xdr:row>
      <xdr:rowOff>142875</xdr:rowOff>
    </xdr:to>
    <xdr:graphicFrame macro="">
      <xdr:nvGraphicFramePr>
        <xdr:cNvPr id="26" name="Chart 25">
          <a:extLst>
            <a:ext uri="{FF2B5EF4-FFF2-40B4-BE49-F238E27FC236}">
              <a16:creationId xmlns:a16="http://schemas.microsoft.com/office/drawing/2014/main" id="{00000000-0008-0000-04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290512</xdr:colOff>
      <xdr:row>97</xdr:row>
      <xdr:rowOff>42862</xdr:rowOff>
    </xdr:from>
    <xdr:ext cx="134396" cy="187872"/>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1176337" y="65960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1">
                        <a:latin typeface="Cambria Math" panose="02040503050406030204" pitchFamily="18" charset="0"/>
                      </a:rPr>
                      <m:t>𝒏</m:t>
                    </m:r>
                  </m:oMath>
                </m:oMathPara>
              </a14:m>
              <a:endParaRPr lang="en-US" sz="1200" b="1"/>
            </a:p>
          </xdr:txBody>
        </xdr:sp>
      </mc:Choice>
      <mc:Fallback xmlns="">
        <xdr:sp macro="" textlink="">
          <xdr:nvSpPr>
            <xdr:cNvPr id="27" name="TextBox 26">
              <a:extLst>
                <a:ext uri="{FF2B5EF4-FFF2-40B4-BE49-F238E27FC236}">
                  <a16:creationId xmlns:a16="http://schemas.microsoft.com/office/drawing/2014/main" id="{CAAC5A56-58E3-4B6D-A8E6-8B1E8147D530}"/>
                </a:ext>
              </a:extLst>
            </xdr:cNvPr>
            <xdr:cNvSpPr txBox="1"/>
          </xdr:nvSpPr>
          <xdr:spPr>
            <a:xfrm>
              <a:off x="1176337" y="65960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𝒏</a:t>
              </a:r>
              <a:endParaRPr lang="en-US" sz="1200" b="1"/>
            </a:p>
          </xdr:txBody>
        </xdr:sp>
      </mc:Fallback>
    </mc:AlternateContent>
    <xdr:clientData/>
  </xdr:oneCellAnchor>
  <xdr:oneCellAnchor>
    <xdr:from>
      <xdr:col>2</xdr:col>
      <xdr:colOff>271462</xdr:colOff>
      <xdr:row>97</xdr:row>
      <xdr:rowOff>42862</xdr:rowOff>
    </xdr:from>
    <xdr:ext cx="178446" cy="187872"/>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1843087" y="65960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𝒕</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28" name="TextBox 27">
              <a:extLst>
                <a:ext uri="{FF2B5EF4-FFF2-40B4-BE49-F238E27FC236}">
                  <a16:creationId xmlns:a16="http://schemas.microsoft.com/office/drawing/2014/main" id="{6561CED3-5E49-4B47-ADF4-8A3863D4EAF6}"/>
                </a:ext>
              </a:extLst>
            </xdr:cNvPr>
            <xdr:cNvSpPr txBox="1"/>
          </xdr:nvSpPr>
          <xdr:spPr>
            <a:xfrm>
              <a:off x="1843087" y="65960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𝒕_𝒏</a:t>
              </a:r>
              <a:endParaRPr lang="en-US" sz="1200" b="1"/>
            </a:p>
          </xdr:txBody>
        </xdr:sp>
      </mc:Fallback>
    </mc:AlternateContent>
    <xdr:clientData/>
  </xdr:oneCellAnchor>
  <xdr:oneCellAnchor>
    <xdr:from>
      <xdr:col>3</xdr:col>
      <xdr:colOff>252412</xdr:colOff>
      <xdr:row>97</xdr:row>
      <xdr:rowOff>33337</xdr:rowOff>
    </xdr:from>
    <xdr:ext cx="226472" cy="187872"/>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2509837" y="6586537"/>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𝑲</m:t>
                        </m:r>
                      </m:e>
                      <m:sub>
                        <m:r>
                          <a:rPr lang="en-US" sz="1200" b="1" i="1">
                            <a:latin typeface="Cambria Math" panose="02040503050406030204" pitchFamily="18" charset="0"/>
                          </a:rPr>
                          <m:t>𝟏</m:t>
                        </m:r>
                      </m:sub>
                    </m:sSub>
                  </m:oMath>
                </m:oMathPara>
              </a14:m>
              <a:endParaRPr lang="en-US" sz="1200" b="1"/>
            </a:p>
          </xdr:txBody>
        </xdr:sp>
      </mc:Choice>
      <mc:Fallback xmlns="">
        <xdr:sp macro="" textlink="">
          <xdr:nvSpPr>
            <xdr:cNvPr id="29" name="TextBox 28">
              <a:extLst>
                <a:ext uri="{FF2B5EF4-FFF2-40B4-BE49-F238E27FC236}">
                  <a16:creationId xmlns:a16="http://schemas.microsoft.com/office/drawing/2014/main" id="{D209C73E-3195-4173-A9C2-50077886E6BA}"/>
                </a:ext>
              </a:extLst>
            </xdr:cNvPr>
            <xdr:cNvSpPr txBox="1"/>
          </xdr:nvSpPr>
          <xdr:spPr>
            <a:xfrm>
              <a:off x="2509837" y="6586537"/>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𝑲_𝟏</a:t>
              </a:r>
              <a:endParaRPr lang="en-US" sz="1200" b="1"/>
            </a:p>
          </xdr:txBody>
        </xdr:sp>
      </mc:Fallback>
    </mc:AlternateContent>
    <xdr:clientData/>
  </xdr:oneCellAnchor>
  <xdr:oneCellAnchor>
    <xdr:from>
      <xdr:col>9</xdr:col>
      <xdr:colOff>357187</xdr:colOff>
      <xdr:row>97</xdr:row>
      <xdr:rowOff>42862</xdr:rowOff>
    </xdr:from>
    <xdr:ext cx="214802" cy="187872"/>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6596062" y="18330862"/>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𝑬</m:t>
                        </m:r>
                      </m:e>
                      <m:sub>
                        <m:r>
                          <a:rPr lang="en-US" sz="1200" b="1" i="1">
                            <a:latin typeface="Cambria Math" panose="02040503050406030204" pitchFamily="18" charset="0"/>
                          </a:rPr>
                          <m:t>𝑻</m:t>
                        </m:r>
                      </m:sub>
                    </m:sSub>
                  </m:oMath>
                </m:oMathPara>
              </a14:m>
              <a:endParaRPr lang="en-US" sz="1200" b="1"/>
            </a:p>
          </xdr:txBody>
        </xdr:sp>
      </mc:Choice>
      <mc:Fallback xmlns="">
        <xdr:sp macro="" textlink="">
          <xdr:nvSpPr>
            <xdr:cNvPr id="30" name="TextBox 29">
              <a:extLst>
                <a:ext uri="{FF2B5EF4-FFF2-40B4-BE49-F238E27FC236}">
                  <a16:creationId xmlns:a16="http://schemas.microsoft.com/office/drawing/2014/main" id="{665D6D60-3029-469B-A18D-26D54B324E66}"/>
                </a:ext>
              </a:extLst>
            </xdr:cNvPr>
            <xdr:cNvSpPr txBox="1"/>
          </xdr:nvSpPr>
          <xdr:spPr>
            <a:xfrm>
              <a:off x="6596062" y="18330862"/>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𝑬_𝑻</a:t>
              </a:r>
              <a:endParaRPr lang="en-US" sz="1200" b="1"/>
            </a:p>
          </xdr:txBody>
        </xdr:sp>
      </mc:Fallback>
    </mc:AlternateContent>
    <xdr:clientData/>
  </xdr:oneCellAnchor>
  <xdr:oneCellAnchor>
    <xdr:from>
      <xdr:col>4</xdr:col>
      <xdr:colOff>328612</xdr:colOff>
      <xdr:row>97</xdr:row>
      <xdr:rowOff>42862</xdr:rowOff>
    </xdr:from>
    <xdr:ext cx="226472" cy="187872"/>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2767012" y="18330862"/>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𝑲</m:t>
                        </m:r>
                      </m:e>
                      <m:sub>
                        <m:r>
                          <a:rPr lang="en-US" sz="1200" b="1" i="1">
                            <a:latin typeface="Cambria Math" panose="02040503050406030204" pitchFamily="18" charset="0"/>
                          </a:rPr>
                          <m:t>𝟐</m:t>
                        </m:r>
                      </m:sub>
                    </m:sSub>
                  </m:oMath>
                </m:oMathPara>
              </a14:m>
              <a:endParaRPr lang="en-US" sz="1200" b="1"/>
            </a:p>
          </xdr:txBody>
        </xdr:sp>
      </mc:Choice>
      <mc:Fallback xmlns="">
        <xdr:sp macro="" textlink="">
          <xdr:nvSpPr>
            <xdr:cNvPr id="31" name="TextBox 30">
              <a:extLst>
                <a:ext uri="{FF2B5EF4-FFF2-40B4-BE49-F238E27FC236}">
                  <a16:creationId xmlns:a16="http://schemas.microsoft.com/office/drawing/2014/main" id="{FA57A825-7557-4267-AB10-88CA6503F593}"/>
                </a:ext>
              </a:extLst>
            </xdr:cNvPr>
            <xdr:cNvSpPr txBox="1"/>
          </xdr:nvSpPr>
          <xdr:spPr>
            <a:xfrm>
              <a:off x="2767012" y="18330862"/>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𝑲_𝟐</a:t>
              </a:r>
              <a:endParaRPr lang="en-US" sz="1200" b="1"/>
            </a:p>
          </xdr:txBody>
        </xdr:sp>
      </mc:Fallback>
    </mc:AlternateContent>
    <xdr:clientData/>
  </xdr:oneCellAnchor>
  <xdr:oneCellAnchor>
    <xdr:from>
      <xdr:col>5</xdr:col>
      <xdr:colOff>347662</xdr:colOff>
      <xdr:row>97</xdr:row>
      <xdr:rowOff>52387</xdr:rowOff>
    </xdr:from>
    <xdr:ext cx="226472" cy="187872"/>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3662362" y="18340387"/>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𝑲</m:t>
                        </m:r>
                      </m:e>
                      <m:sub>
                        <m:r>
                          <a:rPr lang="en-US" sz="1200" b="1" i="1">
                            <a:latin typeface="Cambria Math" panose="02040503050406030204" pitchFamily="18" charset="0"/>
                          </a:rPr>
                          <m:t>𝟑</m:t>
                        </m:r>
                      </m:sub>
                    </m:sSub>
                  </m:oMath>
                </m:oMathPara>
              </a14:m>
              <a:endParaRPr lang="en-US" sz="1200" b="1"/>
            </a:p>
          </xdr:txBody>
        </xdr:sp>
      </mc:Choice>
      <mc:Fallback xmlns="">
        <xdr:sp macro="" textlink="">
          <xdr:nvSpPr>
            <xdr:cNvPr id="32" name="TextBox 31">
              <a:extLst>
                <a:ext uri="{FF2B5EF4-FFF2-40B4-BE49-F238E27FC236}">
                  <a16:creationId xmlns:a16="http://schemas.microsoft.com/office/drawing/2014/main" id="{E15E32F2-FCCD-4C9C-8C94-298C67919DD5}"/>
                </a:ext>
              </a:extLst>
            </xdr:cNvPr>
            <xdr:cNvSpPr txBox="1"/>
          </xdr:nvSpPr>
          <xdr:spPr>
            <a:xfrm>
              <a:off x="3662362" y="18340387"/>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𝑲_𝟑</a:t>
              </a:r>
              <a:endParaRPr lang="en-US" sz="1200" b="1"/>
            </a:p>
          </xdr:txBody>
        </xdr:sp>
      </mc:Fallback>
    </mc:AlternateContent>
    <xdr:clientData/>
  </xdr:oneCellAnchor>
  <xdr:oneCellAnchor>
    <xdr:from>
      <xdr:col>6</xdr:col>
      <xdr:colOff>300037</xdr:colOff>
      <xdr:row>97</xdr:row>
      <xdr:rowOff>42862</xdr:rowOff>
    </xdr:from>
    <xdr:ext cx="226472" cy="187872"/>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4491037" y="18330862"/>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𝑲</m:t>
                        </m:r>
                      </m:e>
                      <m:sub>
                        <m:r>
                          <a:rPr lang="en-US" sz="1200" b="1" i="1">
                            <a:latin typeface="Cambria Math" panose="02040503050406030204" pitchFamily="18" charset="0"/>
                          </a:rPr>
                          <m:t>𝟒</m:t>
                        </m:r>
                      </m:sub>
                    </m:sSub>
                  </m:oMath>
                </m:oMathPara>
              </a14:m>
              <a:endParaRPr lang="en-US" sz="1200" b="1"/>
            </a:p>
          </xdr:txBody>
        </xdr:sp>
      </mc:Choice>
      <mc:Fallback xmlns="">
        <xdr:sp macro="" textlink="">
          <xdr:nvSpPr>
            <xdr:cNvPr id="33" name="TextBox 32">
              <a:extLst>
                <a:ext uri="{FF2B5EF4-FFF2-40B4-BE49-F238E27FC236}">
                  <a16:creationId xmlns:a16="http://schemas.microsoft.com/office/drawing/2014/main" id="{9004671C-D3C8-41CC-A9AD-0573DDEB2D34}"/>
                </a:ext>
              </a:extLst>
            </xdr:cNvPr>
            <xdr:cNvSpPr txBox="1"/>
          </xdr:nvSpPr>
          <xdr:spPr>
            <a:xfrm>
              <a:off x="4491037" y="18330862"/>
              <a:ext cx="2264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𝑲_𝟒</a:t>
              </a:r>
              <a:endParaRPr lang="en-US" sz="1200" b="1"/>
            </a:p>
          </xdr:txBody>
        </xdr:sp>
      </mc:Fallback>
    </mc:AlternateContent>
    <xdr:clientData/>
  </xdr:oneCellAnchor>
  <xdr:oneCellAnchor>
    <xdr:from>
      <xdr:col>7</xdr:col>
      <xdr:colOff>223837</xdr:colOff>
      <xdr:row>97</xdr:row>
      <xdr:rowOff>52387</xdr:rowOff>
    </xdr:from>
    <xdr:ext cx="205826" cy="187872"/>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5224462" y="6605587"/>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𝒚</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34" name="TextBox 33">
              <a:extLst>
                <a:ext uri="{FF2B5EF4-FFF2-40B4-BE49-F238E27FC236}">
                  <a16:creationId xmlns:a16="http://schemas.microsoft.com/office/drawing/2014/main" id="{3186D5F3-9FF0-4F3D-B30E-4C6105447228}"/>
                </a:ext>
              </a:extLst>
            </xdr:cNvPr>
            <xdr:cNvSpPr txBox="1"/>
          </xdr:nvSpPr>
          <xdr:spPr>
            <a:xfrm>
              <a:off x="5224462" y="6605587"/>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𝒚_𝒏</a:t>
              </a:r>
              <a:endParaRPr lang="en-US" sz="1200" b="1"/>
            </a:p>
          </xdr:txBody>
        </xdr:sp>
      </mc:Fallback>
    </mc:AlternateContent>
    <xdr:clientData/>
  </xdr:oneCellAnchor>
  <xdr:oneCellAnchor>
    <xdr:from>
      <xdr:col>11</xdr:col>
      <xdr:colOff>123825</xdr:colOff>
      <xdr:row>36</xdr:row>
      <xdr:rowOff>95250</xdr:rowOff>
    </xdr:from>
    <xdr:ext cx="1466555" cy="322524"/>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7953375" y="7000875"/>
              <a:ext cx="1466555" cy="32252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𝐸</m:t>
                        </m:r>
                      </m:e>
                      <m:sub>
                        <m:r>
                          <a:rPr lang="en-US" sz="1100" b="0" i="1">
                            <a:latin typeface="Cambria Math" panose="02040503050406030204" pitchFamily="18" charset="0"/>
                          </a:rPr>
                          <m:t>𝑇</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panose="02040503050406030204" pitchFamily="18" charset="0"/>
                              </a:rPr>
                              <m:t>𝐸𝑥𝑎𝑐𝑡</m:t>
                            </m:r>
                            <m:r>
                              <a:rPr lang="en-US" sz="1100" b="0" i="1">
                                <a:latin typeface="Cambria Math" panose="02040503050406030204" pitchFamily="18" charset="0"/>
                              </a:rPr>
                              <m:t>−</m:t>
                            </m:r>
                            <m:r>
                              <a:rPr lang="en-US" sz="1100" b="0" i="1">
                                <a:latin typeface="Cambria Math" panose="02040503050406030204" pitchFamily="18" charset="0"/>
                              </a:rPr>
                              <m:t>𝐴𝑝𝑝𝑟𝑜𝑥</m:t>
                            </m:r>
                          </m:num>
                          <m:den>
                            <m:r>
                              <a:rPr lang="en-US" sz="1100" b="0" i="1">
                                <a:latin typeface="Cambria Math" panose="02040503050406030204" pitchFamily="18" charset="0"/>
                              </a:rPr>
                              <m:t>𝐸𝑥𝑎𝑐𝑡</m:t>
                            </m:r>
                          </m:den>
                        </m:f>
                      </m:e>
                    </m:d>
                  </m:oMath>
                </m:oMathPara>
              </a14:m>
              <a:endParaRPr lang="en-US" sz="1100"/>
            </a:p>
          </xdr:txBody>
        </xdr:sp>
      </mc:Choice>
      <mc:Fallback xmlns="">
        <xdr:sp macro="" textlink="">
          <xdr:nvSpPr>
            <xdr:cNvPr id="40" name="TextBox 39">
              <a:extLst>
                <a:ext uri="{FF2B5EF4-FFF2-40B4-BE49-F238E27FC236}">
                  <a16:creationId xmlns:a16="http://schemas.microsoft.com/office/drawing/2014/main" id="{7E3ED5BB-439A-49BA-8D2A-B244966D7BF4}"/>
                </a:ext>
              </a:extLst>
            </xdr:cNvPr>
            <xdr:cNvSpPr txBox="1"/>
          </xdr:nvSpPr>
          <xdr:spPr>
            <a:xfrm>
              <a:off x="7953375" y="7000875"/>
              <a:ext cx="1466555" cy="32252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𝐸_𝑇=|(𝐸𝑥𝑎𝑐𝑡−𝐴𝑝𝑝𝑟𝑜𝑥)/𝐸𝑥𝑎𝑐𝑡|</a:t>
              </a:r>
              <a:endParaRPr lang="en-US" sz="1100"/>
            </a:p>
          </xdr:txBody>
        </xdr:sp>
      </mc:Fallback>
    </mc:AlternateContent>
    <xdr:clientData/>
  </xdr:oneCellAnchor>
  <xdr:twoCellAnchor>
    <xdr:from>
      <xdr:col>10</xdr:col>
      <xdr:colOff>161925</xdr:colOff>
      <xdr:row>97</xdr:row>
      <xdr:rowOff>66674</xdr:rowOff>
    </xdr:from>
    <xdr:to>
      <xdr:col>25</xdr:col>
      <xdr:colOff>561975</xdr:colOff>
      <xdr:row>118</xdr:row>
      <xdr:rowOff>133349</xdr:rowOff>
    </xdr:to>
    <xdr:graphicFrame macro="">
      <xdr:nvGraphicFramePr>
        <xdr:cNvPr id="41" name="Chart 40">
          <a:extLst>
            <a:ext uri="{FF2B5EF4-FFF2-40B4-BE49-F238E27FC236}">
              <a16:creationId xmlns:a16="http://schemas.microsoft.com/office/drawing/2014/main" id="{00000000-0008-0000-04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19050</xdr:colOff>
      <xdr:row>39</xdr:row>
      <xdr:rowOff>171450</xdr:rowOff>
    </xdr:from>
    <xdr:to>
      <xdr:col>8</xdr:col>
      <xdr:colOff>132861</xdr:colOff>
      <xdr:row>43</xdr:row>
      <xdr:rowOff>9450</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8"/>
        <a:stretch>
          <a:fillRect/>
        </a:stretch>
      </xdr:blipFill>
      <xdr:spPr>
        <a:xfrm>
          <a:off x="1847850" y="7648575"/>
          <a:ext cx="3914286" cy="600000"/>
        </a:xfrm>
        <a:prstGeom prst="rect">
          <a:avLst/>
        </a:prstGeom>
      </xdr:spPr>
    </xdr:pic>
    <xdr:clientData/>
  </xdr:twoCellAnchor>
  <xdr:twoCellAnchor>
    <xdr:from>
      <xdr:col>1</xdr:col>
      <xdr:colOff>57149</xdr:colOff>
      <xdr:row>120</xdr:row>
      <xdr:rowOff>66674</xdr:rowOff>
    </xdr:from>
    <xdr:to>
      <xdr:col>20</xdr:col>
      <xdr:colOff>523874</xdr:colOff>
      <xdr:row>151</xdr:row>
      <xdr:rowOff>76199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95250</xdr:colOff>
      <xdr:row>1</xdr:row>
      <xdr:rowOff>38100</xdr:rowOff>
    </xdr:from>
    <xdr:to>
      <xdr:col>8</xdr:col>
      <xdr:colOff>31030</xdr:colOff>
      <xdr:row>22</xdr:row>
      <xdr:rowOff>136148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704850" y="276225"/>
          <a:ext cx="5631730" cy="4098548"/>
        </a:xfrm>
        <a:prstGeom prst="rect">
          <a:avLst/>
        </a:prstGeom>
      </xdr:spPr>
    </xdr:pic>
    <xdr:clientData/>
  </xdr:twoCellAnchor>
  <xdr:oneCellAnchor>
    <xdr:from>
      <xdr:col>1</xdr:col>
      <xdr:colOff>666750</xdr:colOff>
      <xdr:row>46</xdr:row>
      <xdr:rowOff>28575</xdr:rowOff>
    </xdr:from>
    <xdr:ext cx="409023" cy="219163"/>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276350" y="8839200"/>
              <a:ext cx="40902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1" i="0">
                        <a:latin typeface="Cambria Math" panose="02040503050406030204" pitchFamily="18" charset="0"/>
                      </a:rPr>
                      <m:t>𝚫</m:t>
                    </m:r>
                    <m:r>
                      <a:rPr lang="en-US" sz="1400" b="1" i="0">
                        <a:latin typeface="Cambria Math" panose="02040503050406030204" pitchFamily="18" charset="0"/>
                      </a:rPr>
                      <m:t>𝐭</m:t>
                    </m:r>
                    <m:r>
                      <a:rPr lang="en-US" sz="1400" b="1" i="0">
                        <a:latin typeface="Cambria Math" panose="02040503050406030204" pitchFamily="18" charset="0"/>
                      </a:rPr>
                      <m:t>=</m:t>
                    </m:r>
                  </m:oMath>
                </m:oMathPara>
              </a14:m>
              <a:endParaRPr lang="en-US" sz="1400" b="1"/>
            </a:p>
          </xdr:txBody>
        </xdr:sp>
      </mc:Choice>
      <mc:Fallback xmlns="">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276350" y="8839200"/>
              <a:ext cx="40902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1" i="0">
                  <a:latin typeface="Cambria Math" panose="02040503050406030204" pitchFamily="18" charset="0"/>
                </a:rPr>
                <a:t>𝚫𝐭=</a:t>
              </a:r>
              <a:endParaRPr lang="en-US" sz="1400" b="1"/>
            </a:p>
          </xdr:txBody>
        </xdr:sp>
      </mc:Fallback>
    </mc:AlternateContent>
    <xdr:clientData/>
  </xdr:oneCellAnchor>
  <xdr:oneCellAnchor>
    <xdr:from>
      <xdr:col>2</xdr:col>
      <xdr:colOff>290512</xdr:colOff>
      <xdr:row>51</xdr:row>
      <xdr:rowOff>42862</xdr:rowOff>
    </xdr:from>
    <xdr:ext cx="134396"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900112" y="110156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1">
                        <a:latin typeface="Cambria Math" panose="02040503050406030204" pitchFamily="18" charset="0"/>
                      </a:rPr>
                      <m:t>𝒏</m:t>
                    </m:r>
                  </m:oMath>
                </m:oMathPara>
              </a14:m>
              <a:endParaRPr lang="en-US" sz="1200" b="1"/>
            </a:p>
          </xdr:txBody>
        </xdr:sp>
      </mc:Choice>
      <mc:Fallback xmlns="">
        <xdr:sp macro="" textlink="">
          <xdr:nvSpPr>
            <xdr:cNvPr id="4" name="TextBox 3">
              <a:extLst>
                <a:ext uri="{FF2B5EF4-FFF2-40B4-BE49-F238E27FC236}">
                  <a16:creationId xmlns:a16="http://schemas.microsoft.com/office/drawing/2014/main" id="{463C7BEF-DC12-4542-B618-3225C9B00AF7}"/>
                </a:ext>
              </a:extLst>
            </xdr:cNvPr>
            <xdr:cNvSpPr txBox="1"/>
          </xdr:nvSpPr>
          <xdr:spPr>
            <a:xfrm>
              <a:off x="900112" y="110156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𝒏</a:t>
              </a:r>
              <a:endParaRPr lang="en-US" sz="1200" b="1"/>
            </a:p>
          </xdr:txBody>
        </xdr:sp>
      </mc:Fallback>
    </mc:AlternateContent>
    <xdr:clientData/>
  </xdr:oneCellAnchor>
  <xdr:oneCellAnchor>
    <xdr:from>
      <xdr:col>3</xdr:col>
      <xdr:colOff>271462</xdr:colOff>
      <xdr:row>51</xdr:row>
      <xdr:rowOff>42862</xdr:rowOff>
    </xdr:from>
    <xdr:ext cx="178446"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490662" y="110156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𝒕</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5" name="TextBox 4">
              <a:extLst>
                <a:ext uri="{FF2B5EF4-FFF2-40B4-BE49-F238E27FC236}">
                  <a16:creationId xmlns:a16="http://schemas.microsoft.com/office/drawing/2014/main" id="{2474B642-0B34-406B-AD88-A5CD1AC30942}"/>
                </a:ext>
              </a:extLst>
            </xdr:cNvPr>
            <xdr:cNvSpPr txBox="1"/>
          </xdr:nvSpPr>
          <xdr:spPr>
            <a:xfrm>
              <a:off x="1490662" y="110156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𝒕_𝒏</a:t>
              </a:r>
              <a:endParaRPr lang="en-US" sz="1200" b="1"/>
            </a:p>
          </xdr:txBody>
        </xdr:sp>
      </mc:Fallback>
    </mc:AlternateContent>
    <xdr:clientData/>
  </xdr:oneCellAnchor>
  <xdr:oneCellAnchor>
    <xdr:from>
      <xdr:col>4</xdr:col>
      <xdr:colOff>252412</xdr:colOff>
      <xdr:row>51</xdr:row>
      <xdr:rowOff>33337</xdr:rowOff>
    </xdr:from>
    <xdr:ext cx="205826"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2081212" y="11006137"/>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𝒚</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6" name="TextBox 5">
              <a:extLst>
                <a:ext uri="{FF2B5EF4-FFF2-40B4-BE49-F238E27FC236}">
                  <a16:creationId xmlns:a16="http://schemas.microsoft.com/office/drawing/2014/main" id="{09527895-FEFA-48AC-A872-8155ED27792F}"/>
                </a:ext>
              </a:extLst>
            </xdr:cNvPr>
            <xdr:cNvSpPr txBox="1"/>
          </xdr:nvSpPr>
          <xdr:spPr>
            <a:xfrm>
              <a:off x="2081212" y="11006137"/>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𝒚_𝒏</a:t>
              </a:r>
              <a:endParaRPr lang="en-US" sz="1200" b="1"/>
            </a:p>
          </xdr:txBody>
        </xdr:sp>
      </mc:Fallback>
    </mc:AlternateContent>
    <xdr:clientData/>
  </xdr:oneCellAnchor>
  <xdr:oneCellAnchor>
    <xdr:from>
      <xdr:col>6</xdr:col>
      <xdr:colOff>347662</xdr:colOff>
      <xdr:row>51</xdr:row>
      <xdr:rowOff>52387</xdr:rowOff>
    </xdr:from>
    <xdr:ext cx="214802"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4833937" y="10015537"/>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𝑬</m:t>
                        </m:r>
                      </m:e>
                      <m:sub>
                        <m:r>
                          <a:rPr lang="en-US" sz="1200" b="1" i="1">
                            <a:latin typeface="Cambria Math" panose="02040503050406030204" pitchFamily="18" charset="0"/>
                          </a:rPr>
                          <m:t>𝑻</m:t>
                        </m:r>
                      </m:sub>
                    </m:sSub>
                  </m:oMath>
                </m:oMathPara>
              </a14:m>
              <a:endParaRPr lang="en-US" sz="1200" b="1"/>
            </a:p>
          </xdr:txBody>
        </xdr:sp>
      </mc:Choice>
      <mc:Fallback xmlns="">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4833937" y="10015537"/>
              <a:ext cx="21480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𝑬_𝑻</a:t>
              </a:r>
              <a:endParaRPr lang="en-US" sz="1200" b="1"/>
            </a:p>
          </xdr:txBody>
        </xdr:sp>
      </mc:Fallback>
    </mc:AlternateContent>
    <xdr:clientData/>
  </xdr:oneCellAnchor>
  <xdr:oneCellAnchor>
    <xdr:from>
      <xdr:col>1</xdr:col>
      <xdr:colOff>190500</xdr:colOff>
      <xdr:row>31</xdr:row>
      <xdr:rowOff>85725</xdr:rowOff>
    </xdr:from>
    <xdr:ext cx="1517851" cy="22307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800100" y="6162675"/>
              <a:ext cx="1517851" cy="22307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𝑦</m:t>
                    </m:r>
                    <m:r>
                      <a:rPr lang="en-US" sz="1400" b="0" i="1">
                        <a:latin typeface="Cambria Math" panose="02040503050406030204" pitchFamily="18" charset="0"/>
                      </a:rPr>
                      <m:t>=2</m:t>
                    </m:r>
                    <m:r>
                      <a:rPr lang="en-US" sz="1400" b="0" i="1">
                        <a:latin typeface="Cambria Math" panose="02040503050406030204" pitchFamily="18" charset="0"/>
                      </a:rPr>
                      <m:t>𝑡</m:t>
                    </m:r>
                    <m:r>
                      <a:rPr lang="en-US" sz="1400" b="0" i="1">
                        <a:latin typeface="Cambria Math" panose="02040503050406030204" pitchFamily="18" charset="0"/>
                      </a:rPr>
                      <m:t>+3</m:t>
                    </m:r>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−2</m:t>
                        </m:r>
                        <m:r>
                          <a:rPr lang="en-US" sz="1400" b="0" i="1">
                            <a:latin typeface="Cambria Math" panose="02040503050406030204" pitchFamily="18" charset="0"/>
                          </a:rPr>
                          <m:t>𝑡</m:t>
                        </m:r>
                      </m:sup>
                    </m:sSup>
                    <m:r>
                      <a:rPr lang="en-US" sz="1400" b="0" i="1">
                        <a:latin typeface="Cambria Math" panose="02040503050406030204" pitchFamily="18" charset="0"/>
                      </a:rPr>
                      <m:t>−1</m:t>
                    </m:r>
                  </m:oMath>
                </m:oMathPara>
              </a14:m>
              <a:endParaRPr lang="en-US" sz="1400" b="0"/>
            </a:p>
          </xdr:txBody>
        </xdr:sp>
      </mc:Choice>
      <mc:Fallback xmlns="">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800100" y="6162675"/>
              <a:ext cx="1517851" cy="22307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𝑦=2𝑡+3𝑒^(−2𝑡)−1</a:t>
              </a:r>
              <a:endParaRPr lang="en-US" sz="1400" b="0"/>
            </a:p>
          </xdr:txBody>
        </xdr:sp>
      </mc:Fallback>
    </mc:AlternateContent>
    <xdr:clientData/>
  </xdr:oneCellAnchor>
  <xdr:oneCellAnchor>
    <xdr:from>
      <xdr:col>1</xdr:col>
      <xdr:colOff>304800</xdr:colOff>
      <xdr:row>25</xdr:row>
      <xdr:rowOff>123825</xdr:rowOff>
    </xdr:from>
    <xdr:ext cx="1073564" cy="628185"/>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914400" y="4933950"/>
              <a:ext cx="1073564" cy="62818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400" b="0" i="1">
                            <a:latin typeface="Cambria Math" panose="02040503050406030204" pitchFamily="18" charset="0"/>
                          </a:rPr>
                        </m:ctrlPr>
                      </m:fPr>
                      <m:num>
                        <m:r>
                          <a:rPr lang="en-US" sz="1400" b="0" i="1">
                            <a:latin typeface="Cambria Math" panose="02040503050406030204" pitchFamily="18" charset="0"/>
                          </a:rPr>
                          <m:t>𝑑𝑦</m:t>
                        </m:r>
                      </m:num>
                      <m:den>
                        <m:r>
                          <a:rPr lang="en-US" sz="1400" b="0" i="1">
                            <a:latin typeface="Cambria Math" panose="02040503050406030204" pitchFamily="18" charset="0"/>
                          </a:rPr>
                          <m:t>𝑑𝑡</m:t>
                        </m:r>
                      </m:den>
                    </m:f>
                    <m:r>
                      <a:rPr lang="en-US" sz="1400" b="0" i="1">
                        <a:latin typeface="Cambria Math" panose="02040503050406030204" pitchFamily="18" charset="0"/>
                      </a:rPr>
                      <m:t>=4</m:t>
                    </m:r>
                    <m:r>
                      <a:rPr lang="en-US" sz="1400" b="0" i="1">
                        <a:latin typeface="Cambria Math" panose="02040503050406030204" pitchFamily="18" charset="0"/>
                      </a:rPr>
                      <m:t>𝑡</m:t>
                    </m:r>
                    <m:r>
                      <a:rPr lang="en-US" sz="1400" b="0" i="1">
                        <a:latin typeface="Cambria Math" panose="02040503050406030204" pitchFamily="18" charset="0"/>
                      </a:rPr>
                      <m:t>−2</m:t>
                    </m:r>
                    <m:r>
                      <a:rPr lang="en-US" sz="1400" b="0" i="1">
                        <a:latin typeface="Cambria Math" panose="02040503050406030204" pitchFamily="18" charset="0"/>
                      </a:rPr>
                      <m:t>𝑦</m:t>
                    </m:r>
                  </m:oMath>
                </m:oMathPara>
              </a14:m>
              <a:endParaRPr lang="en-US" sz="1400" b="0"/>
            </a:p>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𝑦</m:t>
                    </m:r>
                    <m:d>
                      <m:dPr>
                        <m:ctrlPr>
                          <a:rPr lang="en-US" sz="1400" b="0" i="1">
                            <a:latin typeface="Cambria Math" panose="02040503050406030204" pitchFamily="18" charset="0"/>
                          </a:rPr>
                        </m:ctrlPr>
                      </m:dPr>
                      <m:e>
                        <m:r>
                          <a:rPr lang="en-US" sz="1400" b="0" i="1">
                            <a:latin typeface="Cambria Math" panose="02040503050406030204" pitchFamily="18" charset="0"/>
                          </a:rPr>
                          <m:t>0</m:t>
                        </m:r>
                      </m:e>
                    </m:d>
                    <m:r>
                      <a:rPr lang="en-US" sz="1400" b="0" i="1">
                        <a:latin typeface="Cambria Math" panose="02040503050406030204" pitchFamily="18" charset="0"/>
                      </a:rPr>
                      <m:t>=2</m:t>
                    </m:r>
                  </m:oMath>
                </m:oMathPara>
              </a14:m>
              <a:endParaRPr lang="en-US" sz="1400" b="0"/>
            </a:p>
          </xdr:txBody>
        </xdr:sp>
      </mc:Choice>
      <mc:Fallback xmlns="">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914400" y="4933950"/>
              <a:ext cx="1073564" cy="62818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𝑑𝑦/𝑑𝑡=4𝑡−2𝑦</a:t>
              </a:r>
              <a:endParaRPr lang="en-US" sz="1400" b="0"/>
            </a:p>
            <a:p>
              <a:pPr/>
              <a:r>
                <a:rPr lang="en-US" sz="1400" b="0" i="0">
                  <a:latin typeface="Cambria Math" panose="02040503050406030204" pitchFamily="18" charset="0"/>
                </a:rPr>
                <a:t>𝑦(0)=2</a:t>
              </a:r>
              <a:endParaRPr lang="en-US" sz="1400" b="0"/>
            </a:p>
          </xdr:txBody>
        </xdr:sp>
      </mc:Fallback>
    </mc:AlternateContent>
    <xdr:clientData/>
  </xdr:oneCellAnchor>
  <xdr:twoCellAnchor editAs="oneCell">
    <xdr:from>
      <xdr:col>5</xdr:col>
      <xdr:colOff>304800</xdr:colOff>
      <xdr:row>25</xdr:row>
      <xdr:rowOff>133350</xdr:rowOff>
    </xdr:from>
    <xdr:to>
      <xdr:col>7</xdr:col>
      <xdr:colOff>495042</xdr:colOff>
      <xdr:row>27</xdr:row>
      <xdr:rowOff>123779</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4124325" y="4943475"/>
          <a:ext cx="2066667" cy="371429"/>
        </a:xfrm>
        <a:prstGeom prst="rect">
          <a:avLst/>
        </a:prstGeom>
      </xdr:spPr>
    </xdr:pic>
    <xdr:clientData/>
  </xdr:twoCellAnchor>
  <xdr:oneCellAnchor>
    <xdr:from>
      <xdr:col>1</xdr:col>
      <xdr:colOff>390525</xdr:colOff>
      <xdr:row>29</xdr:row>
      <xdr:rowOff>38100</xdr:rowOff>
    </xdr:from>
    <xdr:ext cx="692241" cy="219163"/>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1000125" y="5610225"/>
              <a:ext cx="692241" cy="21916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400" b="0" i="0">
                        <a:latin typeface="Cambria Math" panose="02040503050406030204" pitchFamily="18" charset="0"/>
                      </a:rPr>
                      <m:t>Δ</m:t>
                    </m:r>
                    <m:r>
                      <a:rPr lang="en-US" sz="1400" b="0" i="1">
                        <a:latin typeface="Cambria Math" panose="02040503050406030204" pitchFamily="18" charset="0"/>
                      </a:rPr>
                      <m:t>𝑡</m:t>
                    </m:r>
                    <m:r>
                      <a:rPr lang="en-US" sz="1400" b="0" i="1">
                        <a:latin typeface="Cambria Math" panose="02040503050406030204" pitchFamily="18" charset="0"/>
                      </a:rPr>
                      <m:t>=0.1</m:t>
                    </m:r>
                  </m:oMath>
                </m:oMathPara>
              </a14:m>
              <a:endParaRPr lang="en-US" sz="1400" b="0"/>
            </a:p>
          </xdr:txBody>
        </xdr:sp>
      </mc:Choice>
      <mc:Fallback xmlns="">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1000125" y="5610225"/>
              <a:ext cx="692241" cy="21916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Δ𝑡=0.1</a:t>
              </a:r>
              <a:endParaRPr lang="en-US" sz="1400" b="0"/>
            </a:p>
          </xdr:txBody>
        </xdr:sp>
      </mc:Fallback>
    </mc:AlternateContent>
    <xdr:clientData/>
  </xdr:oneCellAnchor>
  <xdr:oneCellAnchor>
    <xdr:from>
      <xdr:col>5</xdr:col>
      <xdr:colOff>266700</xdr:colOff>
      <xdr:row>29</xdr:row>
      <xdr:rowOff>95250</xdr:rowOff>
    </xdr:from>
    <xdr:ext cx="1466555" cy="32252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4086225" y="5667375"/>
              <a:ext cx="1466555" cy="32252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𝐸</m:t>
                        </m:r>
                      </m:e>
                      <m:sub>
                        <m:r>
                          <a:rPr lang="en-US" sz="1100" b="0" i="1">
                            <a:latin typeface="Cambria Math" panose="02040503050406030204" pitchFamily="18" charset="0"/>
                          </a:rPr>
                          <m:t>𝑇</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panose="02040503050406030204" pitchFamily="18" charset="0"/>
                              </a:rPr>
                              <m:t>𝐸𝑥𝑎𝑐𝑡</m:t>
                            </m:r>
                            <m:r>
                              <a:rPr lang="en-US" sz="1100" b="0" i="1">
                                <a:latin typeface="Cambria Math" panose="02040503050406030204" pitchFamily="18" charset="0"/>
                              </a:rPr>
                              <m:t>−</m:t>
                            </m:r>
                            <m:r>
                              <a:rPr lang="en-US" sz="1100" b="0" i="1">
                                <a:latin typeface="Cambria Math" panose="02040503050406030204" pitchFamily="18" charset="0"/>
                              </a:rPr>
                              <m:t>𝐴𝑝𝑝𝑟𝑜𝑥</m:t>
                            </m:r>
                          </m:num>
                          <m:den>
                            <m:r>
                              <a:rPr lang="en-US" sz="1100" b="0" i="1">
                                <a:latin typeface="Cambria Math" panose="02040503050406030204" pitchFamily="18" charset="0"/>
                              </a:rPr>
                              <m:t>𝐸𝑥𝑎𝑐𝑡</m:t>
                            </m:r>
                          </m:den>
                        </m:f>
                      </m:e>
                    </m:d>
                  </m:oMath>
                </m:oMathPara>
              </a14:m>
              <a:endParaRPr lang="en-US" sz="1100"/>
            </a:p>
          </xdr:txBody>
        </xdr:sp>
      </mc:Choice>
      <mc:Fallback xmlns="">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4086225" y="5667375"/>
              <a:ext cx="1466555" cy="32252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𝐸_𝑇=|(𝐸𝑥𝑎𝑐𝑡−𝐴𝑝𝑝𝑟𝑜𝑥)/𝐸𝑥𝑎𝑐𝑡|</a:t>
              </a:r>
              <a:endParaRPr lang="en-US" sz="1100"/>
            </a:p>
          </xdr:txBody>
        </xdr:sp>
      </mc:Fallback>
    </mc:AlternateContent>
    <xdr:clientData/>
  </xdr:oneCellAnchor>
  <xdr:oneCellAnchor>
    <xdr:from>
      <xdr:col>9</xdr:col>
      <xdr:colOff>371475</xdr:colOff>
      <xdr:row>34</xdr:row>
      <xdr:rowOff>66675</xdr:rowOff>
    </xdr:from>
    <xdr:ext cx="1073564" cy="628185"/>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7286625" y="6715125"/>
              <a:ext cx="1073564" cy="62818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f>
                      <m:fPr>
                        <m:ctrlPr>
                          <a:rPr lang="en-US" sz="1400" b="0" i="1">
                            <a:solidFill>
                              <a:schemeClr val="tx1"/>
                            </a:solidFill>
                            <a:effectLst/>
                            <a:latin typeface="Cambria Math" panose="02040503050406030204" pitchFamily="18" charset="0"/>
                            <a:ea typeface="+mn-ea"/>
                            <a:cs typeface="+mn-cs"/>
                          </a:rPr>
                        </m:ctrlPr>
                      </m:fPr>
                      <m:num>
                        <m:r>
                          <a:rPr lang="en-US" sz="1400" b="0" i="1">
                            <a:solidFill>
                              <a:schemeClr val="tx1"/>
                            </a:solidFill>
                            <a:effectLst/>
                            <a:latin typeface="Cambria Math" panose="02040503050406030204" pitchFamily="18" charset="0"/>
                            <a:ea typeface="+mn-ea"/>
                            <a:cs typeface="+mn-cs"/>
                          </a:rPr>
                          <m:t>𝑑𝑦</m:t>
                        </m:r>
                      </m:num>
                      <m:den>
                        <m:r>
                          <a:rPr lang="en-US" sz="1400" b="0" i="1">
                            <a:solidFill>
                              <a:schemeClr val="tx1"/>
                            </a:solidFill>
                            <a:effectLst/>
                            <a:latin typeface="Cambria Math" panose="02040503050406030204" pitchFamily="18" charset="0"/>
                            <a:ea typeface="+mn-ea"/>
                            <a:cs typeface="+mn-cs"/>
                          </a:rPr>
                          <m:t>𝑑𝑡</m:t>
                        </m:r>
                      </m:den>
                    </m:f>
                    <m:r>
                      <a:rPr lang="en-US" sz="1400" b="0" i="1">
                        <a:solidFill>
                          <a:schemeClr val="tx1"/>
                        </a:solidFill>
                        <a:effectLst/>
                        <a:latin typeface="Cambria Math" panose="02040503050406030204" pitchFamily="18" charset="0"/>
                        <a:ea typeface="+mn-ea"/>
                        <a:cs typeface="+mn-cs"/>
                      </a:rPr>
                      <m:t>=4</m:t>
                    </m:r>
                    <m:r>
                      <a:rPr lang="en-US" sz="1400" b="0" i="1">
                        <a:solidFill>
                          <a:schemeClr val="tx1"/>
                        </a:solidFill>
                        <a:effectLst/>
                        <a:latin typeface="Cambria Math" panose="02040503050406030204" pitchFamily="18" charset="0"/>
                        <a:ea typeface="+mn-ea"/>
                        <a:cs typeface="+mn-cs"/>
                      </a:rPr>
                      <m:t>𝑡</m:t>
                    </m:r>
                    <m:r>
                      <a:rPr lang="en-US" sz="1400" b="0" i="1">
                        <a:solidFill>
                          <a:schemeClr val="tx1"/>
                        </a:solidFill>
                        <a:effectLst/>
                        <a:latin typeface="Cambria Math" panose="02040503050406030204" pitchFamily="18" charset="0"/>
                        <a:ea typeface="+mn-ea"/>
                        <a:cs typeface="+mn-cs"/>
                      </a:rPr>
                      <m:t>−2</m:t>
                    </m:r>
                    <m:r>
                      <a:rPr lang="en-US" sz="1400" b="0" i="1">
                        <a:solidFill>
                          <a:schemeClr val="tx1"/>
                        </a:solidFill>
                        <a:effectLst/>
                        <a:latin typeface="Cambria Math" panose="02040503050406030204" pitchFamily="18" charset="0"/>
                        <a:ea typeface="+mn-ea"/>
                        <a:cs typeface="+mn-cs"/>
                      </a:rPr>
                      <m:t>𝑦</m:t>
                    </m:r>
                  </m:oMath>
                </m:oMathPara>
              </a14:m>
              <a:endParaRPr lang="en-US" sz="1400">
                <a:effectLst/>
              </a:endParaRPr>
            </a:p>
            <a:p>
              <a:endParaRPr lang="en-US" sz="1400"/>
            </a:p>
          </xdr:txBody>
        </xdr:sp>
      </mc:Choice>
      <mc:Fallback xmlns="">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7286625" y="6715125"/>
              <a:ext cx="1073564" cy="62818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400" b="0" i="0">
                  <a:solidFill>
                    <a:schemeClr val="tx1"/>
                  </a:solidFill>
                  <a:effectLst/>
                  <a:latin typeface="Cambria Math" panose="02040503050406030204" pitchFamily="18" charset="0"/>
                  <a:ea typeface="+mn-ea"/>
                  <a:cs typeface="+mn-cs"/>
                </a:rPr>
                <a:t>𝑑𝑦/𝑑𝑡=4𝑡−2𝑦</a:t>
              </a:r>
              <a:endParaRPr lang="en-US" sz="1400">
                <a:effectLst/>
              </a:endParaRPr>
            </a:p>
            <a:p>
              <a:endParaRPr lang="en-US" sz="1400"/>
            </a:p>
          </xdr:txBody>
        </xdr:sp>
      </mc:Fallback>
    </mc:AlternateContent>
    <xdr:clientData/>
  </xdr:oneCellAnchor>
  <xdr:oneCellAnchor>
    <xdr:from>
      <xdr:col>10</xdr:col>
      <xdr:colOff>204787</xdr:colOff>
      <xdr:row>51</xdr:row>
      <xdr:rowOff>42862</xdr:rowOff>
    </xdr:from>
    <xdr:ext cx="205826" cy="187872"/>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6958012" y="8139112"/>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𝒚</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15" name="TextBox 14">
              <a:extLst>
                <a:ext uri="{FF2B5EF4-FFF2-40B4-BE49-F238E27FC236}">
                  <a16:creationId xmlns:a16="http://schemas.microsoft.com/office/drawing/2014/main" id="{862B19D6-8852-4EC3-B4D6-B80A09A18BA0}"/>
                </a:ext>
              </a:extLst>
            </xdr:cNvPr>
            <xdr:cNvSpPr txBox="1"/>
          </xdr:nvSpPr>
          <xdr:spPr>
            <a:xfrm>
              <a:off x="6958012" y="8139112"/>
              <a:ext cx="20582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𝒚_𝒏</a:t>
              </a:r>
              <a:endParaRPr lang="en-US" sz="1200" b="1"/>
            </a:p>
          </xdr:txBody>
        </xdr:sp>
      </mc:Fallback>
    </mc:AlternateContent>
    <xdr:clientData/>
  </xdr:oneCellAnchor>
  <xdr:oneCellAnchor>
    <xdr:from>
      <xdr:col>8</xdr:col>
      <xdr:colOff>280987</xdr:colOff>
      <xdr:row>51</xdr:row>
      <xdr:rowOff>61912</xdr:rowOff>
    </xdr:from>
    <xdr:ext cx="134396" cy="18787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5815012" y="81581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1">
                        <a:latin typeface="Cambria Math" panose="02040503050406030204" pitchFamily="18" charset="0"/>
                      </a:rPr>
                      <m:t>𝒏</m:t>
                    </m:r>
                  </m:oMath>
                </m:oMathPara>
              </a14:m>
              <a:endParaRPr lang="en-US" sz="1200" b="1"/>
            </a:p>
          </xdr:txBody>
        </xdr:sp>
      </mc:Choice>
      <mc:Fallback xmlns="">
        <xdr:sp macro="" textlink="">
          <xdr:nvSpPr>
            <xdr:cNvPr id="16" name="TextBox 15">
              <a:extLst>
                <a:ext uri="{FF2B5EF4-FFF2-40B4-BE49-F238E27FC236}">
                  <a16:creationId xmlns:a16="http://schemas.microsoft.com/office/drawing/2014/main" id="{E27A2BC6-A383-44E2-8017-422361DC7498}"/>
                </a:ext>
              </a:extLst>
            </xdr:cNvPr>
            <xdr:cNvSpPr txBox="1"/>
          </xdr:nvSpPr>
          <xdr:spPr>
            <a:xfrm>
              <a:off x="5815012" y="8158162"/>
              <a:ext cx="13439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𝒏</a:t>
              </a:r>
              <a:endParaRPr lang="en-US" sz="1200" b="1"/>
            </a:p>
          </xdr:txBody>
        </xdr:sp>
      </mc:Fallback>
    </mc:AlternateContent>
    <xdr:clientData/>
  </xdr:oneCellAnchor>
  <xdr:oneCellAnchor>
    <xdr:from>
      <xdr:col>9</xdr:col>
      <xdr:colOff>214312</xdr:colOff>
      <xdr:row>51</xdr:row>
      <xdr:rowOff>61912</xdr:rowOff>
    </xdr:from>
    <xdr:ext cx="178446" cy="187872"/>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6357937" y="81581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panose="02040503050406030204" pitchFamily="18" charset="0"/>
                          </a:rPr>
                          <m:t>𝒕</m:t>
                        </m:r>
                      </m:e>
                      <m:sub>
                        <m:r>
                          <a:rPr lang="en-US" sz="1200" b="1" i="1">
                            <a:latin typeface="Cambria Math" panose="02040503050406030204" pitchFamily="18" charset="0"/>
                          </a:rPr>
                          <m:t>𝒏</m:t>
                        </m:r>
                      </m:sub>
                    </m:sSub>
                  </m:oMath>
                </m:oMathPara>
              </a14:m>
              <a:endParaRPr lang="en-US" sz="1200" b="1"/>
            </a:p>
          </xdr:txBody>
        </xdr:sp>
      </mc:Choice>
      <mc:Fallback xmlns="">
        <xdr:sp macro="" textlink="">
          <xdr:nvSpPr>
            <xdr:cNvPr id="17" name="TextBox 16">
              <a:extLst>
                <a:ext uri="{FF2B5EF4-FFF2-40B4-BE49-F238E27FC236}">
                  <a16:creationId xmlns:a16="http://schemas.microsoft.com/office/drawing/2014/main" id="{7EB31084-916D-4C18-9DC2-952C15064A35}"/>
                </a:ext>
              </a:extLst>
            </xdr:cNvPr>
            <xdr:cNvSpPr txBox="1"/>
          </xdr:nvSpPr>
          <xdr:spPr>
            <a:xfrm>
              <a:off x="6357937" y="8158162"/>
              <a:ext cx="17844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1" i="0">
                  <a:latin typeface="Cambria Math" panose="02040503050406030204" pitchFamily="18" charset="0"/>
                </a:rPr>
                <a:t>𝒕_𝒏</a:t>
              </a:r>
              <a:endParaRPr lang="en-US" sz="1200" b="1"/>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66675</xdr:colOff>
          <xdr:row>43</xdr:row>
          <xdr:rowOff>38100</xdr:rowOff>
        </xdr:from>
        <xdr:to>
          <xdr:col>6</xdr:col>
          <xdr:colOff>819150</xdr:colOff>
          <xdr:row>45</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Euler Calculation. Problem 5d</a:t>
              </a:r>
            </a:p>
          </xdr:txBody>
        </xdr:sp>
        <xdr:clientData fPrintsWithSheet="0"/>
      </xdr:twoCellAnchor>
    </mc:Choice>
    <mc:Fallback/>
  </mc:AlternateContent>
  <xdr:oneCellAnchor>
    <xdr:from>
      <xdr:col>1</xdr:col>
      <xdr:colOff>685800</xdr:colOff>
      <xdr:row>47</xdr:row>
      <xdr:rowOff>0</xdr:rowOff>
    </xdr:from>
    <xdr:ext cx="417742" cy="219163"/>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500-000014000000}"/>
                </a:ext>
              </a:extLst>
            </xdr:cNvPr>
            <xdr:cNvSpPr txBox="1"/>
          </xdr:nvSpPr>
          <xdr:spPr>
            <a:xfrm>
              <a:off x="1295400" y="9048750"/>
              <a:ext cx="4177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1" i="1">
                            <a:latin typeface="Cambria Math" panose="02040503050406030204" pitchFamily="18" charset="0"/>
                          </a:rPr>
                        </m:ctrlPr>
                      </m:sSubPr>
                      <m:e>
                        <m:r>
                          <a:rPr lang="en-US" sz="1400" b="1" i="1">
                            <a:latin typeface="Cambria Math" panose="02040503050406030204" pitchFamily="18" charset="0"/>
                          </a:rPr>
                          <m:t>𝒚</m:t>
                        </m:r>
                      </m:e>
                      <m:sub>
                        <m:r>
                          <a:rPr lang="en-US" sz="1400" b="1" i="1">
                            <a:latin typeface="Cambria Math" panose="02040503050406030204" pitchFamily="18" charset="0"/>
                          </a:rPr>
                          <m:t>𝟎</m:t>
                        </m:r>
                      </m:sub>
                    </m:sSub>
                    <m:r>
                      <a:rPr lang="en-US" sz="1400" b="1" i="0">
                        <a:latin typeface="Cambria Math" panose="02040503050406030204" pitchFamily="18" charset="0"/>
                      </a:rPr>
                      <m:t>=</m:t>
                    </m:r>
                  </m:oMath>
                </m:oMathPara>
              </a14:m>
              <a:endParaRPr lang="en-US" sz="1400" b="1"/>
            </a:p>
          </xdr:txBody>
        </xdr:sp>
      </mc:Choice>
      <mc:Fallback xmlns="">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1295400" y="9048750"/>
              <a:ext cx="4177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1" i="0">
                  <a:latin typeface="Cambria Math" panose="02040503050406030204" pitchFamily="18" charset="0"/>
                </a:rPr>
                <a:t>𝒚_𝟎=</a:t>
              </a:r>
              <a:endParaRPr lang="en-US" sz="1400" b="1"/>
            </a:p>
          </xdr:txBody>
        </xdr:sp>
      </mc:Fallback>
    </mc:AlternateContent>
    <xdr:clientData/>
  </xdr:oneCellAnchor>
  <xdr:oneCellAnchor>
    <xdr:from>
      <xdr:col>1</xdr:col>
      <xdr:colOff>676275</xdr:colOff>
      <xdr:row>47</xdr:row>
      <xdr:rowOff>228600</xdr:rowOff>
    </xdr:from>
    <xdr:ext cx="385747" cy="219163"/>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1285875" y="9277350"/>
              <a:ext cx="38574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1" i="1">
                            <a:latin typeface="Cambria Math" panose="02040503050406030204" pitchFamily="18" charset="0"/>
                          </a:rPr>
                        </m:ctrlPr>
                      </m:sSubPr>
                      <m:e>
                        <m:r>
                          <a:rPr lang="en-US" sz="1400" b="1" i="1">
                            <a:latin typeface="Cambria Math" panose="02040503050406030204" pitchFamily="18" charset="0"/>
                          </a:rPr>
                          <m:t>𝒕</m:t>
                        </m:r>
                      </m:e>
                      <m:sub>
                        <m:r>
                          <a:rPr lang="en-US" sz="1400" b="1" i="1">
                            <a:latin typeface="Cambria Math" panose="02040503050406030204" pitchFamily="18" charset="0"/>
                          </a:rPr>
                          <m:t>𝟎</m:t>
                        </m:r>
                      </m:sub>
                    </m:sSub>
                    <m:r>
                      <a:rPr lang="en-US" sz="1400" b="1" i="0">
                        <a:latin typeface="Cambria Math" panose="02040503050406030204" pitchFamily="18" charset="0"/>
                      </a:rPr>
                      <m:t>=</m:t>
                    </m:r>
                  </m:oMath>
                </m:oMathPara>
              </a14:m>
              <a:endParaRPr lang="en-US" sz="1400" b="1"/>
            </a:p>
          </xdr:txBody>
        </xdr:sp>
      </mc:Choice>
      <mc:Fallback xmlns="">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285875" y="9277350"/>
              <a:ext cx="38574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1" i="0">
                  <a:latin typeface="Cambria Math" panose="02040503050406030204" pitchFamily="18" charset="0"/>
                </a:rPr>
                <a:t>𝒕_𝟎=</a:t>
              </a:r>
              <a:endParaRPr lang="en-US" sz="1400" b="1"/>
            </a:p>
          </xdr:txBody>
        </xdr:sp>
      </mc:Fallback>
    </mc:AlternateContent>
    <xdr:clientData/>
  </xdr:oneCellAnchor>
  <xdr:oneCellAnchor>
    <xdr:from>
      <xdr:col>1</xdr:col>
      <xdr:colOff>66675</xdr:colOff>
      <xdr:row>49</xdr:row>
      <xdr:rowOff>0</xdr:rowOff>
    </xdr:from>
    <xdr:ext cx="1025794" cy="219163"/>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676275" y="9525000"/>
              <a:ext cx="102579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1" i="1">
                        <a:latin typeface="Cambria Math" panose="02040503050406030204" pitchFamily="18" charset="0"/>
                      </a:rPr>
                      <m:t>𝒇𝒊𝒏𝒅</m:t>
                    </m:r>
                    <m:r>
                      <a:rPr lang="en-US" sz="1400" b="1" i="1">
                        <a:latin typeface="Cambria Math" panose="02040503050406030204" pitchFamily="18" charset="0"/>
                      </a:rPr>
                      <m:t> </m:t>
                    </m:r>
                    <m:r>
                      <a:rPr lang="en-US" sz="1400" b="1" i="1">
                        <a:latin typeface="Cambria Math" panose="02040503050406030204" pitchFamily="18" charset="0"/>
                      </a:rPr>
                      <m:t>𝒚</m:t>
                    </m:r>
                    <m:r>
                      <a:rPr lang="en-US" sz="1400" b="1" i="1">
                        <a:latin typeface="Cambria Math" panose="02040503050406030204" pitchFamily="18" charset="0"/>
                      </a:rPr>
                      <m:t>(?)</m:t>
                    </m:r>
                    <m:r>
                      <a:rPr lang="en-US" sz="1400" b="1" i="0">
                        <a:latin typeface="Cambria Math" panose="02040503050406030204" pitchFamily="18" charset="0"/>
                      </a:rPr>
                      <m:t>=</m:t>
                    </m:r>
                  </m:oMath>
                </m:oMathPara>
              </a14:m>
              <a:endParaRPr lang="en-US" sz="1400" b="1"/>
            </a:p>
          </xdr:txBody>
        </xdr:sp>
      </mc:Choice>
      <mc:Fallback xmlns="">
        <xdr:sp macro="" textlink="">
          <xdr:nvSpPr>
            <xdr:cNvPr id="22" name="TextBox 21">
              <a:extLst>
                <a:ext uri="{FF2B5EF4-FFF2-40B4-BE49-F238E27FC236}">
                  <a16:creationId xmlns:a16="http://schemas.microsoft.com/office/drawing/2014/main" id="{D7C77F47-8CCE-486C-A016-3C6AE5679F19}"/>
                </a:ext>
              </a:extLst>
            </xdr:cNvPr>
            <xdr:cNvSpPr txBox="1"/>
          </xdr:nvSpPr>
          <xdr:spPr>
            <a:xfrm>
              <a:off x="676275" y="9525000"/>
              <a:ext cx="102579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1" i="0">
                  <a:latin typeface="Cambria Math" panose="02040503050406030204" pitchFamily="18" charset="0"/>
                </a:rPr>
                <a:t>𝒇𝒊𝒏𝒅 𝒚(?)=</a:t>
              </a:r>
              <a:endParaRPr lang="en-US" sz="1400" b="1"/>
            </a:p>
          </xdr:txBody>
        </xdr:sp>
      </mc:Fallback>
    </mc:AlternateContent>
    <xdr:clientData/>
  </xdr:oneCellAnchor>
  <xdr:twoCellAnchor editAs="oneCell">
    <xdr:from>
      <xdr:col>20</xdr:col>
      <xdr:colOff>390525</xdr:colOff>
      <xdr:row>13</xdr:row>
      <xdr:rowOff>9525</xdr:rowOff>
    </xdr:from>
    <xdr:to>
      <xdr:col>24</xdr:col>
      <xdr:colOff>142601</xdr:colOff>
      <xdr:row>27</xdr:row>
      <xdr:rowOff>142525</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3"/>
        <a:stretch>
          <a:fillRect/>
        </a:stretch>
      </xdr:blipFill>
      <xdr:spPr>
        <a:xfrm>
          <a:off x="14535150" y="2533650"/>
          <a:ext cx="2190476" cy="2800000"/>
        </a:xfrm>
        <a:prstGeom prst="rect">
          <a:avLst/>
        </a:prstGeom>
      </xdr:spPr>
    </xdr:pic>
    <xdr:clientData/>
  </xdr:twoCellAnchor>
  <xdr:twoCellAnchor>
    <xdr:from>
      <xdr:col>15</xdr:col>
      <xdr:colOff>590550</xdr:colOff>
      <xdr:row>13</xdr:row>
      <xdr:rowOff>104775</xdr:rowOff>
    </xdr:from>
    <xdr:to>
      <xdr:col>20</xdr:col>
      <xdr:colOff>209550</xdr:colOff>
      <xdr:row>13</xdr:row>
      <xdr:rowOff>104775</xdr:rowOff>
    </xdr:to>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11687175" y="2628900"/>
          <a:ext cx="26670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FC16D-F0A2-4CBD-90D1-10F32377574A}">
  <sheetPr codeName="Sheet1"/>
  <dimension ref="A1:B25"/>
  <sheetViews>
    <sheetView tabSelected="1" workbookViewId="0">
      <selection activeCell="J13" sqref="J13"/>
    </sheetView>
  </sheetViews>
  <sheetFormatPr defaultRowHeight="15" x14ac:dyDescent="0.25"/>
  <cols>
    <col min="1" max="1" width="20.5703125" customWidth="1"/>
    <col min="2" max="2" width="54.28515625" customWidth="1"/>
  </cols>
  <sheetData>
    <row r="1" spans="1:2" ht="15.75" x14ac:dyDescent="0.25">
      <c r="A1" s="3" t="s">
        <v>0</v>
      </c>
      <c r="B1" s="1" t="s">
        <v>1</v>
      </c>
    </row>
    <row r="2" spans="1:2" ht="15.75" x14ac:dyDescent="0.25">
      <c r="A2" s="3" t="s">
        <v>2</v>
      </c>
      <c r="B2" s="1" t="s">
        <v>3</v>
      </c>
    </row>
    <row r="3" spans="1:2" ht="15.75" x14ac:dyDescent="0.25">
      <c r="A3" s="3" t="s">
        <v>4</v>
      </c>
      <c r="B3" s="2" t="s">
        <v>31</v>
      </c>
    </row>
    <row r="4" spans="1:2" ht="15.75" x14ac:dyDescent="0.25">
      <c r="A4" s="3" t="s">
        <v>5</v>
      </c>
      <c r="B4" s="28">
        <v>44175</v>
      </c>
    </row>
    <row r="5" spans="1:2" x14ac:dyDescent="0.25">
      <c r="A5" s="4" t="s">
        <v>6</v>
      </c>
    </row>
    <row r="6" spans="1:2" x14ac:dyDescent="0.25">
      <c r="A6" s="4"/>
    </row>
    <row r="7" spans="1:2" x14ac:dyDescent="0.25">
      <c r="A7" s="4"/>
      <c r="B7" t="s">
        <v>181</v>
      </c>
    </row>
    <row r="8" spans="1:2" x14ac:dyDescent="0.25">
      <c r="A8" s="4"/>
      <c r="B8" t="s">
        <v>49</v>
      </c>
    </row>
    <row r="9" spans="1:2" x14ac:dyDescent="0.25">
      <c r="B9" t="s">
        <v>50</v>
      </c>
    </row>
    <row r="10" spans="1:2" x14ac:dyDescent="0.25">
      <c r="B10" t="s">
        <v>231</v>
      </c>
    </row>
    <row r="11" spans="1:2" x14ac:dyDescent="0.25">
      <c r="B11" t="s">
        <v>145</v>
      </c>
    </row>
    <row r="13" spans="1:2" ht="46.5" customHeight="1" x14ac:dyDescent="0.25">
      <c r="A13" s="101" t="s">
        <v>8</v>
      </c>
      <c r="B13" s="101"/>
    </row>
    <row r="25" spans="2:2" x14ac:dyDescent="0.25">
      <c r="B25" t="s">
        <v>7</v>
      </c>
    </row>
  </sheetData>
  <mergeCells count="1">
    <mergeCell ref="A13:B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76FF0-FF40-44EA-B7FE-36765F8859A9}">
  <sheetPr codeName="Sheet7"/>
  <dimension ref="A1:J85"/>
  <sheetViews>
    <sheetView workbookViewId="0">
      <selection activeCell="D90" sqref="D90"/>
    </sheetView>
  </sheetViews>
  <sheetFormatPr defaultRowHeight="15" x14ac:dyDescent="0.25"/>
  <cols>
    <col min="3" max="3" width="5.42578125" customWidth="1"/>
    <col min="4" max="4" width="15.85546875" customWidth="1"/>
    <col min="5" max="5" width="20.42578125" customWidth="1"/>
    <col min="6" max="7" width="19.28515625" customWidth="1"/>
    <col min="8" max="8" width="18.5703125" customWidth="1"/>
    <col min="15" max="15" width="12.7109375" bestFit="1" customWidth="1"/>
  </cols>
  <sheetData>
    <row r="1" spans="1:8" ht="18.75" x14ac:dyDescent="0.3">
      <c r="A1" s="48" t="s">
        <v>182</v>
      </c>
    </row>
    <row r="2" spans="1:8" ht="111.75" customHeight="1" x14ac:dyDescent="0.25">
      <c r="A2" s="90"/>
      <c r="C2" s="91"/>
    </row>
    <row r="3" spans="1:8" x14ac:dyDescent="0.25">
      <c r="A3" t="s">
        <v>10</v>
      </c>
      <c r="C3" s="91"/>
    </row>
    <row r="4" spans="1:8" x14ac:dyDescent="0.25">
      <c r="B4" t="s">
        <v>210</v>
      </c>
      <c r="C4" s="91"/>
    </row>
    <row r="5" spans="1:8" x14ac:dyDescent="0.25">
      <c r="C5" s="91"/>
      <c r="D5" t="s">
        <v>211</v>
      </c>
      <c r="E5">
        <f>SQRT(0.7)</f>
        <v>0.83666002653407556</v>
      </c>
    </row>
    <row r="6" spans="1:8" x14ac:dyDescent="0.25">
      <c r="C6" s="91"/>
      <c r="D6" t="s">
        <v>212</v>
      </c>
      <c r="E6">
        <f>ROUND(E5,2)</f>
        <v>0.84</v>
      </c>
    </row>
    <row r="7" spans="1:8" ht="50.25" customHeight="1" x14ac:dyDescent="0.25">
      <c r="B7" s="97" t="s">
        <v>213</v>
      </c>
      <c r="C7" s="91"/>
    </row>
    <row r="8" spans="1:8" x14ac:dyDescent="0.25">
      <c r="B8" t="s">
        <v>214</v>
      </c>
      <c r="C8" s="91"/>
    </row>
    <row r="9" spans="1:8" ht="64.5" customHeight="1" x14ac:dyDescent="0.25">
      <c r="C9" s="91"/>
      <c r="H9" s="98" t="s">
        <v>215</v>
      </c>
    </row>
    <row r="10" spans="1:8" x14ac:dyDescent="0.25">
      <c r="B10" t="s">
        <v>216</v>
      </c>
      <c r="C10" s="91"/>
    </row>
    <row r="11" spans="1:8" ht="46.5" customHeight="1" x14ac:dyDescent="0.25">
      <c r="C11" s="91"/>
    </row>
    <row r="12" spans="1:8" x14ac:dyDescent="0.25">
      <c r="B12" t="s">
        <v>183</v>
      </c>
      <c r="C12" s="91"/>
    </row>
    <row r="13" spans="1:8" ht="51.75" customHeight="1" x14ac:dyDescent="0.25">
      <c r="C13" s="91"/>
    </row>
    <row r="14" spans="1:8" x14ac:dyDescent="0.25">
      <c r="B14" t="s">
        <v>217</v>
      </c>
      <c r="C14" s="91"/>
    </row>
    <row r="15" spans="1:8" x14ac:dyDescent="0.25">
      <c r="C15" s="91" t="s">
        <v>218</v>
      </c>
    </row>
    <row r="16" spans="1:8" x14ac:dyDescent="0.25">
      <c r="C16" s="91" t="s">
        <v>219</v>
      </c>
    </row>
    <row r="17" spans="2:10" ht="51" customHeight="1" x14ac:dyDescent="0.25">
      <c r="C17" s="92"/>
      <c r="D17" s="92"/>
      <c r="E17" s="92"/>
      <c r="F17" s="92"/>
      <c r="G17" s="92"/>
      <c r="H17" s="92"/>
      <c r="I17" s="92" t="s">
        <v>184</v>
      </c>
      <c r="J17" s="92" t="s">
        <v>185</v>
      </c>
    </row>
    <row r="18" spans="2:10" x14ac:dyDescent="0.25">
      <c r="B18" s="93" t="s">
        <v>186</v>
      </c>
      <c r="C18" s="94">
        <v>0</v>
      </c>
      <c r="D18" s="11">
        <f>E6</f>
        <v>0.84</v>
      </c>
      <c r="E18" s="95">
        <f>_xlfn.SEC(D18)-COS(D18)-0.7</f>
        <v>0.13074795277328077</v>
      </c>
      <c r="F18" s="11">
        <f>TAN(D18)*_xlfn.SEC(D18)+SIN(D18)</f>
        <v>2.4160955295568631</v>
      </c>
      <c r="G18" s="95">
        <f>D18-(E18/F18)</f>
        <v>0.78588460962168105</v>
      </c>
      <c r="H18" s="11"/>
      <c r="I18" s="11"/>
      <c r="J18" s="11"/>
    </row>
    <row r="19" spans="2:10" x14ac:dyDescent="0.25">
      <c r="B19" s="93" t="s">
        <v>186</v>
      </c>
      <c r="C19" s="94">
        <v>1</v>
      </c>
      <c r="D19" s="95">
        <f>G18</f>
        <v>0.78588460962168105</v>
      </c>
      <c r="E19" s="95">
        <f t="shared" ref="E19:E38" si="0">_xlfn.SEC(D19)-COS(D19)-0.7</f>
        <v>8.139275372320065E-3</v>
      </c>
      <c r="F19" s="11">
        <f t="shared" ref="F19:F38" si="1">_xlfn.SEC(D19)*TAN(D19)+SIN(D19)</f>
        <v>2.1237298879481976</v>
      </c>
      <c r="G19" s="95">
        <f t="shared" ref="G19:G38" si="2">D19-(E19/F19)</f>
        <v>0.78205207168052904</v>
      </c>
      <c r="H19" s="81">
        <f>ABS((D19-D18)/D19)*100</f>
        <v>6.8859206193603484</v>
      </c>
      <c r="I19" s="53" t="s">
        <v>187</v>
      </c>
      <c r="J19" s="53" t="s">
        <v>188</v>
      </c>
    </row>
    <row r="20" spans="2:10" x14ac:dyDescent="0.25">
      <c r="B20" s="93" t="s">
        <v>186</v>
      </c>
      <c r="C20" s="94">
        <v>2</v>
      </c>
      <c r="D20" s="95">
        <f t="shared" ref="D20:D38" si="3">G19</f>
        <v>0.78205207168052904</v>
      </c>
      <c r="E20" s="95">
        <f t="shared" si="0"/>
        <v>3.6265955553727025E-5</v>
      </c>
      <c r="F20" s="11">
        <f t="shared" si="1"/>
        <v>2.1048406668052584</v>
      </c>
      <c r="G20" s="95">
        <f t="shared" si="2"/>
        <v>0.78203484189391115</v>
      </c>
      <c r="H20" s="81">
        <f t="shared" ref="H20:H36" si="4">ABS((D20-D19)/D20)*100</f>
        <v>0.49006173373038764</v>
      </c>
      <c r="I20" s="53" t="s">
        <v>188</v>
      </c>
      <c r="J20" s="53" t="s">
        <v>189</v>
      </c>
    </row>
    <row r="21" spans="2:10" x14ac:dyDescent="0.25">
      <c r="B21" s="93" t="s">
        <v>186</v>
      </c>
      <c r="C21" s="94">
        <v>3</v>
      </c>
      <c r="D21" s="95">
        <f t="shared" si="3"/>
        <v>0.78203484189391115</v>
      </c>
      <c r="E21" s="95">
        <f t="shared" si="0"/>
        <v>7.2738293166452195E-10</v>
      </c>
      <c r="F21" s="11">
        <f t="shared" si="1"/>
        <v>2.1047562343200856</v>
      </c>
      <c r="G21" s="95">
        <f t="shared" si="2"/>
        <v>0.78203484154832104</v>
      </c>
      <c r="H21" s="81">
        <f t="shared" si="4"/>
        <v>2.2031993582488974E-3</v>
      </c>
      <c r="I21" s="53" t="s">
        <v>190</v>
      </c>
      <c r="J21" s="53" t="s">
        <v>191</v>
      </c>
    </row>
    <row r="22" spans="2:10" hidden="1" x14ac:dyDescent="0.25">
      <c r="B22" s="93" t="s">
        <v>186</v>
      </c>
      <c r="C22" s="94">
        <v>4</v>
      </c>
      <c r="D22" s="95">
        <f t="shared" si="3"/>
        <v>0.78203484154832104</v>
      </c>
      <c r="E22" s="95">
        <f t="shared" si="0"/>
        <v>0</v>
      </c>
      <c r="F22" s="11">
        <f t="shared" si="1"/>
        <v>2.1047562326266069</v>
      </c>
      <c r="G22" s="95">
        <f t="shared" si="2"/>
        <v>0.78203484154832104</v>
      </c>
      <c r="H22" s="81">
        <f t="shared" si="4"/>
        <v>4.4191140051867196E-8</v>
      </c>
      <c r="I22" s="53" t="s">
        <v>191</v>
      </c>
      <c r="J22" s="53" t="s">
        <v>192</v>
      </c>
    </row>
    <row r="23" spans="2:10" hidden="1" x14ac:dyDescent="0.25">
      <c r="B23" s="93" t="s">
        <v>186</v>
      </c>
      <c r="C23" s="94">
        <v>5</v>
      </c>
      <c r="D23" s="95">
        <f t="shared" si="3"/>
        <v>0.78203484154832104</v>
      </c>
      <c r="E23" s="95">
        <f t="shared" si="0"/>
        <v>0</v>
      </c>
      <c r="F23" s="11">
        <f t="shared" si="1"/>
        <v>2.1047562326266069</v>
      </c>
      <c r="G23" s="95">
        <f t="shared" si="2"/>
        <v>0.78203484154832104</v>
      </c>
      <c r="H23" s="81">
        <f t="shared" si="4"/>
        <v>0</v>
      </c>
      <c r="I23" s="53" t="s">
        <v>192</v>
      </c>
      <c r="J23" s="53" t="s">
        <v>193</v>
      </c>
    </row>
    <row r="24" spans="2:10" hidden="1" x14ac:dyDescent="0.25">
      <c r="B24" s="93" t="s">
        <v>186</v>
      </c>
      <c r="C24" s="94">
        <v>6</v>
      </c>
      <c r="D24" s="95">
        <f t="shared" si="3"/>
        <v>0.78203484154832104</v>
      </c>
      <c r="E24" s="95">
        <f t="shared" si="0"/>
        <v>0</v>
      </c>
      <c r="F24" s="11">
        <f t="shared" si="1"/>
        <v>2.1047562326266069</v>
      </c>
      <c r="G24" s="95">
        <f t="shared" si="2"/>
        <v>0.78203484154832104</v>
      </c>
      <c r="H24" s="81">
        <f t="shared" si="4"/>
        <v>0</v>
      </c>
      <c r="I24" s="53" t="s">
        <v>193</v>
      </c>
      <c r="J24" s="53" t="s">
        <v>194</v>
      </c>
    </row>
    <row r="25" spans="2:10" hidden="1" x14ac:dyDescent="0.25">
      <c r="B25" s="93" t="s">
        <v>186</v>
      </c>
      <c r="C25" s="94">
        <v>7</v>
      </c>
      <c r="D25" s="95">
        <f t="shared" si="3"/>
        <v>0.78203484154832104</v>
      </c>
      <c r="E25" s="95">
        <f t="shared" si="0"/>
        <v>0</v>
      </c>
      <c r="F25" s="11">
        <f t="shared" si="1"/>
        <v>2.1047562326266069</v>
      </c>
      <c r="G25" s="95">
        <f t="shared" si="2"/>
        <v>0.78203484154832104</v>
      </c>
      <c r="H25" s="81">
        <f t="shared" si="4"/>
        <v>0</v>
      </c>
      <c r="I25" s="53" t="s">
        <v>194</v>
      </c>
      <c r="J25" s="53" t="s">
        <v>195</v>
      </c>
    </row>
    <row r="26" spans="2:10" hidden="1" x14ac:dyDescent="0.25">
      <c r="B26" s="93" t="s">
        <v>186</v>
      </c>
      <c r="C26" s="94">
        <v>8</v>
      </c>
      <c r="D26" s="95">
        <f t="shared" si="3"/>
        <v>0.78203484154832104</v>
      </c>
      <c r="E26" s="95">
        <f t="shared" si="0"/>
        <v>0</v>
      </c>
      <c r="F26" s="11">
        <f t="shared" si="1"/>
        <v>2.1047562326266069</v>
      </c>
      <c r="G26" s="95">
        <f t="shared" si="2"/>
        <v>0.78203484154832104</v>
      </c>
      <c r="H26" s="81">
        <f t="shared" si="4"/>
        <v>0</v>
      </c>
      <c r="I26" s="53" t="s">
        <v>195</v>
      </c>
      <c r="J26" s="53" t="s">
        <v>196</v>
      </c>
    </row>
    <row r="27" spans="2:10" hidden="1" x14ac:dyDescent="0.25">
      <c r="B27" s="93" t="s">
        <v>186</v>
      </c>
      <c r="C27" s="94">
        <v>9</v>
      </c>
      <c r="D27" s="95">
        <f t="shared" si="3"/>
        <v>0.78203484154832104</v>
      </c>
      <c r="E27" s="95">
        <f t="shared" si="0"/>
        <v>0</v>
      </c>
      <c r="F27" s="11">
        <f t="shared" si="1"/>
        <v>2.1047562326266069</v>
      </c>
      <c r="G27" s="95">
        <f t="shared" si="2"/>
        <v>0.78203484154832104</v>
      </c>
      <c r="H27" s="81">
        <f t="shared" si="4"/>
        <v>0</v>
      </c>
      <c r="I27" s="53" t="s">
        <v>196</v>
      </c>
      <c r="J27" s="53" t="s">
        <v>197</v>
      </c>
    </row>
    <row r="28" spans="2:10" hidden="1" x14ac:dyDescent="0.25">
      <c r="B28" s="93" t="s">
        <v>186</v>
      </c>
      <c r="C28" s="94">
        <v>10</v>
      </c>
      <c r="D28" s="95">
        <f t="shared" si="3"/>
        <v>0.78203484154832104</v>
      </c>
      <c r="E28" s="95">
        <f t="shared" si="0"/>
        <v>0</v>
      </c>
      <c r="F28" s="11">
        <f t="shared" si="1"/>
        <v>2.1047562326266069</v>
      </c>
      <c r="G28" s="95">
        <f t="shared" si="2"/>
        <v>0.78203484154832104</v>
      </c>
      <c r="H28" s="81">
        <f t="shared" si="4"/>
        <v>0</v>
      </c>
      <c r="I28" s="53" t="s">
        <v>197</v>
      </c>
      <c r="J28" s="53" t="s">
        <v>198</v>
      </c>
    </row>
    <row r="29" spans="2:10" hidden="1" x14ac:dyDescent="0.25">
      <c r="B29" s="93" t="s">
        <v>186</v>
      </c>
      <c r="C29" s="94">
        <v>11</v>
      </c>
      <c r="D29" s="95">
        <f t="shared" si="3"/>
        <v>0.78203484154832104</v>
      </c>
      <c r="E29" s="95">
        <f t="shared" si="0"/>
        <v>0</v>
      </c>
      <c r="F29" s="11">
        <f t="shared" si="1"/>
        <v>2.1047562326266069</v>
      </c>
      <c r="G29" s="95">
        <f t="shared" si="2"/>
        <v>0.78203484154832104</v>
      </c>
      <c r="H29" s="81">
        <f t="shared" si="4"/>
        <v>0</v>
      </c>
      <c r="I29" s="53" t="s">
        <v>198</v>
      </c>
      <c r="J29" s="53" t="s">
        <v>199</v>
      </c>
    </row>
    <row r="30" spans="2:10" hidden="1" x14ac:dyDescent="0.25">
      <c r="B30" s="93" t="s">
        <v>186</v>
      </c>
      <c r="C30" s="94">
        <v>12</v>
      </c>
      <c r="D30" s="95">
        <f t="shared" si="3"/>
        <v>0.78203484154832104</v>
      </c>
      <c r="E30" s="95">
        <f t="shared" si="0"/>
        <v>0</v>
      </c>
      <c r="F30" s="11">
        <f t="shared" si="1"/>
        <v>2.1047562326266069</v>
      </c>
      <c r="G30" s="95">
        <f t="shared" si="2"/>
        <v>0.78203484154832104</v>
      </c>
      <c r="H30" s="81">
        <f t="shared" si="4"/>
        <v>0</v>
      </c>
      <c r="I30" s="53" t="s">
        <v>199</v>
      </c>
      <c r="J30" s="53" t="s">
        <v>200</v>
      </c>
    </row>
    <row r="31" spans="2:10" hidden="1" x14ac:dyDescent="0.25">
      <c r="B31" s="93" t="s">
        <v>186</v>
      </c>
      <c r="C31" s="94">
        <v>13</v>
      </c>
      <c r="D31" s="95">
        <f t="shared" si="3"/>
        <v>0.78203484154832104</v>
      </c>
      <c r="E31" s="95">
        <f t="shared" si="0"/>
        <v>0</v>
      </c>
      <c r="F31" s="11">
        <f t="shared" si="1"/>
        <v>2.1047562326266069</v>
      </c>
      <c r="G31" s="95">
        <f t="shared" si="2"/>
        <v>0.78203484154832104</v>
      </c>
      <c r="H31" s="81">
        <f t="shared" si="4"/>
        <v>0</v>
      </c>
      <c r="I31" s="53" t="s">
        <v>200</v>
      </c>
      <c r="J31" s="53" t="s">
        <v>201</v>
      </c>
    </row>
    <row r="32" spans="2:10" hidden="1" x14ac:dyDescent="0.25">
      <c r="B32" s="93" t="s">
        <v>186</v>
      </c>
      <c r="C32" s="94">
        <v>14</v>
      </c>
      <c r="D32" s="95">
        <f t="shared" si="3"/>
        <v>0.78203484154832104</v>
      </c>
      <c r="E32" s="95">
        <f t="shared" si="0"/>
        <v>0</v>
      </c>
      <c r="F32" s="11">
        <f t="shared" si="1"/>
        <v>2.1047562326266069</v>
      </c>
      <c r="G32" s="95">
        <f t="shared" si="2"/>
        <v>0.78203484154832104</v>
      </c>
      <c r="H32" s="81">
        <f t="shared" si="4"/>
        <v>0</v>
      </c>
      <c r="I32" s="53" t="s">
        <v>201</v>
      </c>
      <c r="J32" s="53" t="s">
        <v>202</v>
      </c>
    </row>
    <row r="33" spans="2:10" hidden="1" x14ac:dyDescent="0.25">
      <c r="B33" s="93" t="s">
        <v>186</v>
      </c>
      <c r="C33" s="94">
        <v>15</v>
      </c>
      <c r="D33" s="95">
        <f t="shared" si="3"/>
        <v>0.78203484154832104</v>
      </c>
      <c r="E33" s="95">
        <f t="shared" si="0"/>
        <v>0</v>
      </c>
      <c r="F33" s="11">
        <f t="shared" si="1"/>
        <v>2.1047562326266069</v>
      </c>
      <c r="G33" s="95">
        <f t="shared" si="2"/>
        <v>0.78203484154832104</v>
      </c>
      <c r="H33" s="81">
        <f t="shared" si="4"/>
        <v>0</v>
      </c>
      <c r="I33" s="53" t="s">
        <v>202</v>
      </c>
      <c r="J33" s="53" t="s">
        <v>203</v>
      </c>
    </row>
    <row r="34" spans="2:10" hidden="1" x14ac:dyDescent="0.25">
      <c r="B34" s="93" t="s">
        <v>186</v>
      </c>
      <c r="C34" s="94">
        <v>16</v>
      </c>
      <c r="D34" s="95">
        <f t="shared" si="3"/>
        <v>0.78203484154832104</v>
      </c>
      <c r="E34" s="95">
        <f t="shared" si="0"/>
        <v>0</v>
      </c>
      <c r="F34" s="11">
        <f t="shared" si="1"/>
        <v>2.1047562326266069</v>
      </c>
      <c r="G34" s="95">
        <f t="shared" si="2"/>
        <v>0.78203484154832104</v>
      </c>
      <c r="H34" s="81">
        <f t="shared" si="4"/>
        <v>0</v>
      </c>
      <c r="I34" s="53" t="s">
        <v>203</v>
      </c>
      <c r="J34" s="53" t="s">
        <v>204</v>
      </c>
    </row>
    <row r="35" spans="2:10" hidden="1" x14ac:dyDescent="0.25">
      <c r="B35" s="93" t="s">
        <v>186</v>
      </c>
      <c r="C35" s="94">
        <v>17</v>
      </c>
      <c r="D35" s="95">
        <f t="shared" si="3"/>
        <v>0.78203484154832104</v>
      </c>
      <c r="E35" s="95">
        <f t="shared" si="0"/>
        <v>0</v>
      </c>
      <c r="F35" s="11">
        <f t="shared" si="1"/>
        <v>2.1047562326266069</v>
      </c>
      <c r="G35" s="95">
        <f t="shared" si="2"/>
        <v>0.78203484154832104</v>
      </c>
      <c r="H35" s="81">
        <f t="shared" si="4"/>
        <v>0</v>
      </c>
      <c r="I35" s="53" t="s">
        <v>204</v>
      </c>
      <c r="J35" s="53" t="s">
        <v>205</v>
      </c>
    </row>
    <row r="36" spans="2:10" hidden="1" x14ac:dyDescent="0.25">
      <c r="B36" s="93" t="s">
        <v>186</v>
      </c>
      <c r="C36" s="94">
        <v>18</v>
      </c>
      <c r="D36" s="95">
        <f t="shared" si="3"/>
        <v>0.78203484154832104</v>
      </c>
      <c r="E36" s="95">
        <f t="shared" si="0"/>
        <v>0</v>
      </c>
      <c r="F36" s="11">
        <f t="shared" si="1"/>
        <v>2.1047562326266069</v>
      </c>
      <c r="G36" s="95">
        <f t="shared" si="2"/>
        <v>0.78203484154832104</v>
      </c>
      <c r="H36" s="81">
        <f t="shared" si="4"/>
        <v>0</v>
      </c>
      <c r="I36" s="53" t="s">
        <v>205</v>
      </c>
      <c r="J36" s="53" t="s">
        <v>206</v>
      </c>
    </row>
    <row r="37" spans="2:10" hidden="1" x14ac:dyDescent="0.25">
      <c r="B37" s="93" t="s">
        <v>186</v>
      </c>
      <c r="C37" s="94">
        <v>19</v>
      </c>
      <c r="D37" s="95">
        <f t="shared" si="3"/>
        <v>0.78203484154832104</v>
      </c>
      <c r="E37" s="95">
        <f t="shared" si="0"/>
        <v>0</v>
      </c>
      <c r="F37" s="11">
        <f t="shared" si="1"/>
        <v>2.1047562326266069</v>
      </c>
      <c r="G37" s="95">
        <f t="shared" si="2"/>
        <v>0.78203484154832104</v>
      </c>
      <c r="H37" s="81">
        <f>ABS((D37-D36)/D37)*100</f>
        <v>0</v>
      </c>
      <c r="I37" s="53" t="s">
        <v>206</v>
      </c>
      <c r="J37" s="53" t="s">
        <v>207</v>
      </c>
    </row>
    <row r="38" spans="2:10" hidden="1" x14ac:dyDescent="0.25">
      <c r="B38" s="96" t="s">
        <v>208</v>
      </c>
      <c r="C38" s="96"/>
      <c r="D38" s="95">
        <f t="shared" si="3"/>
        <v>0.78203484154832104</v>
      </c>
      <c r="E38" s="95">
        <f t="shared" si="0"/>
        <v>0</v>
      </c>
      <c r="F38" s="11">
        <f t="shared" si="1"/>
        <v>2.1047562326266069</v>
      </c>
      <c r="G38" s="95">
        <f t="shared" si="2"/>
        <v>0.78203484154832104</v>
      </c>
      <c r="H38" s="21" t="s">
        <v>209</v>
      </c>
      <c r="I38" s="21"/>
      <c r="J38" s="21"/>
    </row>
    <row r="39" spans="2:10" x14ac:dyDescent="0.25">
      <c r="C39" s="91"/>
    </row>
    <row r="40" spans="2:10" x14ac:dyDescent="0.25">
      <c r="C40" t="s">
        <v>220</v>
      </c>
    </row>
    <row r="41" spans="2:10" x14ac:dyDescent="0.25">
      <c r="D41">
        <v>0.78203484199999995</v>
      </c>
    </row>
    <row r="42" spans="2:10" x14ac:dyDescent="0.25">
      <c r="C42" t="s">
        <v>221</v>
      </c>
    </row>
    <row r="43" spans="2:10" x14ac:dyDescent="0.25">
      <c r="D43" t="s">
        <v>222</v>
      </c>
    </row>
    <row r="44" spans="2:10" x14ac:dyDescent="0.25">
      <c r="E44" s="99" t="s">
        <v>223</v>
      </c>
      <c r="F44" s="100">
        <f>G21</f>
        <v>0.78203484154832104</v>
      </c>
    </row>
    <row r="45" spans="2:10" x14ac:dyDescent="0.25">
      <c r="C45" t="s">
        <v>224</v>
      </c>
    </row>
    <row r="46" spans="2:10" x14ac:dyDescent="0.25">
      <c r="D46" t="s">
        <v>225</v>
      </c>
    </row>
    <row r="63" spans="3:4" x14ac:dyDescent="0.25">
      <c r="C63" t="s">
        <v>226</v>
      </c>
    </row>
    <row r="64" spans="3:4" x14ac:dyDescent="0.25">
      <c r="D64" t="s">
        <v>227</v>
      </c>
    </row>
    <row r="82" spans="3:4" x14ac:dyDescent="0.25">
      <c r="C82" t="s">
        <v>228</v>
      </c>
    </row>
    <row r="83" spans="3:4" x14ac:dyDescent="0.25">
      <c r="D83" t="s">
        <v>229</v>
      </c>
    </row>
    <row r="85" spans="3:4" x14ac:dyDescent="0.25">
      <c r="C85" t="s">
        <v>230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4A21-903A-4537-A7A0-D4567500544F}">
  <sheetPr codeName="Sheet2"/>
  <dimension ref="A1:U172"/>
  <sheetViews>
    <sheetView zoomScaleNormal="100" workbookViewId="0">
      <selection activeCell="K94" sqref="K94"/>
    </sheetView>
  </sheetViews>
  <sheetFormatPr defaultRowHeight="15" x14ac:dyDescent="0.25"/>
  <cols>
    <col min="2" max="2" width="13.7109375" customWidth="1"/>
    <col min="4" max="4" width="9.85546875" customWidth="1"/>
    <col min="5" max="6" width="15.28515625" customWidth="1"/>
    <col min="7" max="7" width="17.42578125" customWidth="1"/>
    <col min="8" max="8" width="12" customWidth="1"/>
    <col min="9" max="9" width="15.140625" customWidth="1"/>
    <col min="10" max="11" width="12" customWidth="1"/>
    <col min="12" max="12" width="15.140625" customWidth="1"/>
    <col min="13" max="14" width="12" customWidth="1"/>
    <col min="15" max="15" width="15.140625" customWidth="1"/>
    <col min="16" max="17" width="12" customWidth="1"/>
    <col min="18" max="18" width="15.140625" customWidth="1"/>
    <col min="19" max="19" width="12" customWidth="1"/>
  </cols>
  <sheetData>
    <row r="1" spans="1:20" ht="18.75" x14ac:dyDescent="0.3">
      <c r="A1" s="48" t="s">
        <v>274</v>
      </c>
    </row>
    <row r="3" spans="1:20" ht="52.5" customHeight="1" x14ac:dyDescent="0.25"/>
    <row r="6" spans="1:20" x14ac:dyDescent="0.25">
      <c r="B6" s="30"/>
    </row>
    <row r="7" spans="1:20" ht="75.75" customHeight="1" x14ac:dyDescent="0.25">
      <c r="B7" s="30"/>
    </row>
    <row r="8" spans="1:20" x14ac:dyDescent="0.25">
      <c r="A8" t="s">
        <v>10</v>
      </c>
    </row>
    <row r="9" spans="1:20" x14ac:dyDescent="0.25">
      <c r="B9" s="41" t="s">
        <v>36</v>
      </c>
      <c r="C9" s="40"/>
      <c r="D9" s="40"/>
      <c r="E9" s="40"/>
      <c r="F9" s="40"/>
      <c r="G9" s="40"/>
      <c r="H9" s="40"/>
      <c r="I9" s="40"/>
      <c r="J9" s="40"/>
      <c r="K9" s="40"/>
      <c r="L9" s="40"/>
      <c r="M9" s="40"/>
      <c r="N9" s="40"/>
      <c r="O9" s="40"/>
      <c r="P9" s="40"/>
      <c r="Q9" s="40"/>
      <c r="R9" s="40"/>
      <c r="S9" s="40"/>
      <c r="T9" s="40"/>
    </row>
    <row r="10" spans="1:20" x14ac:dyDescent="0.25">
      <c r="C10" s="51" t="s">
        <v>57</v>
      </c>
      <c r="D10" s="51"/>
      <c r="E10" s="51"/>
    </row>
    <row r="12" spans="1:20" x14ac:dyDescent="0.25">
      <c r="C12" s="50" t="s">
        <v>51</v>
      </c>
      <c r="D12" s="50" t="s">
        <v>26</v>
      </c>
    </row>
    <row r="13" spans="1:20" x14ac:dyDescent="0.25">
      <c r="C13" s="27" t="s">
        <v>52</v>
      </c>
      <c r="D13" s="27">
        <v>1</v>
      </c>
    </row>
    <row r="14" spans="1:20" x14ac:dyDescent="0.25">
      <c r="C14" s="27" t="s">
        <v>53</v>
      </c>
      <c r="D14" s="27">
        <v>8</v>
      </c>
    </row>
    <row r="15" spans="1:20" x14ac:dyDescent="0.25">
      <c r="C15" s="27" t="s">
        <v>54</v>
      </c>
      <c r="D15" s="27">
        <v>20</v>
      </c>
    </row>
    <row r="17" spans="3:9" x14ac:dyDescent="0.25">
      <c r="C17" s="51" t="s">
        <v>55</v>
      </c>
      <c r="D17" s="51"/>
      <c r="E17" s="51"/>
    </row>
    <row r="19" spans="3:9" ht="19.5" customHeight="1" x14ac:dyDescent="0.25">
      <c r="C19" s="11"/>
      <c r="D19" s="65">
        <f>(D14-D13)/D15</f>
        <v>0.35</v>
      </c>
    </row>
    <row r="21" spans="3:9" x14ac:dyDescent="0.25">
      <c r="D21" t="s">
        <v>56</v>
      </c>
    </row>
    <row r="22" spans="3:9" ht="58.5" customHeight="1" x14ac:dyDescent="0.25"/>
    <row r="23" spans="3:9" x14ac:dyDescent="0.25">
      <c r="D23" t="s">
        <v>58</v>
      </c>
    </row>
    <row r="25" spans="3:9" ht="31.5" customHeight="1" x14ac:dyDescent="0.25">
      <c r="D25" s="11"/>
      <c r="E25" s="63">
        <f>D19/2</f>
        <v>0.17499999999999999</v>
      </c>
    </row>
    <row r="26" spans="3:9" ht="30" customHeight="1" x14ac:dyDescent="0.25">
      <c r="D26" s="53" t="s">
        <v>54</v>
      </c>
      <c r="E26" s="11"/>
      <c r="F26" s="11"/>
      <c r="G26" s="11"/>
    </row>
    <row r="27" spans="3:9" x14ac:dyDescent="0.25">
      <c r="D27" s="11">
        <v>0</v>
      </c>
      <c r="E27" s="11">
        <f>$D$13+D27*$D$19</f>
        <v>1</v>
      </c>
      <c r="F27" s="11">
        <f>E27^3</f>
        <v>1</v>
      </c>
      <c r="G27" s="58">
        <f>F27</f>
        <v>1</v>
      </c>
      <c r="I27" s="5" t="s">
        <v>78</v>
      </c>
    </row>
    <row r="28" spans="3:9" x14ac:dyDescent="0.25">
      <c r="D28" s="11">
        <v>1</v>
      </c>
      <c r="E28" s="11">
        <f t="shared" ref="E28:E47" si="0">$D$13+D28*$D$19</f>
        <v>1.35</v>
      </c>
      <c r="F28" s="11">
        <f t="shared" ref="F28:F47" si="1">E28^3</f>
        <v>2.4603750000000004</v>
      </c>
      <c r="G28" s="11">
        <f>F28*2</f>
        <v>4.9207500000000008</v>
      </c>
      <c r="I28" s="5" t="s">
        <v>79</v>
      </c>
    </row>
    <row r="29" spans="3:9" x14ac:dyDescent="0.25">
      <c r="D29" s="11">
        <v>2</v>
      </c>
      <c r="E29" s="11">
        <f t="shared" si="0"/>
        <v>1.7</v>
      </c>
      <c r="F29" s="11">
        <f t="shared" si="1"/>
        <v>4.9129999999999994</v>
      </c>
      <c r="G29" s="11">
        <f t="shared" ref="G29:G46" si="2">F29*2</f>
        <v>9.8259999999999987</v>
      </c>
    </row>
    <row r="30" spans="3:9" x14ac:dyDescent="0.25">
      <c r="D30" s="11">
        <v>3</v>
      </c>
      <c r="E30" s="11">
        <f t="shared" si="0"/>
        <v>2.0499999999999998</v>
      </c>
      <c r="F30" s="11">
        <f t="shared" si="1"/>
        <v>8.615124999999999</v>
      </c>
      <c r="G30" s="11">
        <f t="shared" si="2"/>
        <v>17.230249999999998</v>
      </c>
    </row>
    <row r="31" spans="3:9" x14ac:dyDescent="0.25">
      <c r="D31" s="11">
        <v>4</v>
      </c>
      <c r="E31" s="11">
        <f t="shared" si="0"/>
        <v>2.4</v>
      </c>
      <c r="F31" s="11">
        <f t="shared" si="1"/>
        <v>13.824</v>
      </c>
      <c r="G31" s="11">
        <f t="shared" si="2"/>
        <v>27.648</v>
      </c>
    </row>
    <row r="32" spans="3:9" x14ac:dyDescent="0.25">
      <c r="D32" s="11">
        <v>5</v>
      </c>
      <c r="E32" s="11">
        <f t="shared" si="0"/>
        <v>2.75</v>
      </c>
      <c r="F32" s="11">
        <f t="shared" si="1"/>
        <v>20.796875</v>
      </c>
      <c r="G32" s="11">
        <f t="shared" si="2"/>
        <v>41.59375</v>
      </c>
    </row>
    <row r="33" spans="4:7" x14ac:dyDescent="0.25">
      <c r="D33" s="11">
        <v>6</v>
      </c>
      <c r="E33" s="11">
        <f t="shared" si="0"/>
        <v>3.0999999999999996</v>
      </c>
      <c r="F33" s="11">
        <f t="shared" si="1"/>
        <v>29.79099999999999</v>
      </c>
      <c r="G33" s="11">
        <f t="shared" si="2"/>
        <v>59.581999999999979</v>
      </c>
    </row>
    <row r="34" spans="4:7" x14ac:dyDescent="0.25">
      <c r="D34" s="11">
        <v>7</v>
      </c>
      <c r="E34" s="11">
        <f t="shared" si="0"/>
        <v>3.4499999999999997</v>
      </c>
      <c r="F34" s="11">
        <f t="shared" si="1"/>
        <v>41.063624999999988</v>
      </c>
      <c r="G34" s="11">
        <f t="shared" si="2"/>
        <v>82.127249999999975</v>
      </c>
    </row>
    <row r="35" spans="4:7" x14ac:dyDescent="0.25">
      <c r="D35" s="11">
        <v>8</v>
      </c>
      <c r="E35" s="11">
        <f t="shared" si="0"/>
        <v>3.8</v>
      </c>
      <c r="F35" s="11">
        <f t="shared" si="1"/>
        <v>54.871999999999993</v>
      </c>
      <c r="G35" s="11">
        <f t="shared" si="2"/>
        <v>109.74399999999999</v>
      </c>
    </row>
    <row r="36" spans="4:7" x14ac:dyDescent="0.25">
      <c r="D36" s="11">
        <v>9</v>
      </c>
      <c r="E36" s="11">
        <f t="shared" si="0"/>
        <v>4.1500000000000004</v>
      </c>
      <c r="F36" s="11">
        <f t="shared" si="1"/>
        <v>71.473375000000019</v>
      </c>
      <c r="G36" s="11">
        <f t="shared" si="2"/>
        <v>142.94675000000004</v>
      </c>
    </row>
    <row r="37" spans="4:7" x14ac:dyDescent="0.25">
      <c r="D37" s="11">
        <v>10</v>
      </c>
      <c r="E37" s="11">
        <f t="shared" si="0"/>
        <v>4.5</v>
      </c>
      <c r="F37" s="11">
        <f t="shared" si="1"/>
        <v>91.125</v>
      </c>
      <c r="G37" s="11">
        <f t="shared" si="2"/>
        <v>182.25</v>
      </c>
    </row>
    <row r="38" spans="4:7" x14ac:dyDescent="0.25">
      <c r="D38" s="11">
        <v>11</v>
      </c>
      <c r="E38" s="11">
        <f t="shared" si="0"/>
        <v>4.8499999999999996</v>
      </c>
      <c r="F38" s="11">
        <f t="shared" si="1"/>
        <v>114.08412499999997</v>
      </c>
      <c r="G38" s="11">
        <f t="shared" si="2"/>
        <v>228.16824999999994</v>
      </c>
    </row>
    <row r="39" spans="4:7" x14ac:dyDescent="0.25">
      <c r="D39" s="11">
        <v>12</v>
      </c>
      <c r="E39" s="11">
        <f t="shared" si="0"/>
        <v>5.1999999999999993</v>
      </c>
      <c r="F39" s="11">
        <f t="shared" si="1"/>
        <v>140.60799999999995</v>
      </c>
      <c r="G39" s="11">
        <f t="shared" si="2"/>
        <v>281.21599999999989</v>
      </c>
    </row>
    <row r="40" spans="4:7" x14ac:dyDescent="0.25">
      <c r="D40" s="11">
        <v>13</v>
      </c>
      <c r="E40" s="11">
        <f t="shared" si="0"/>
        <v>5.55</v>
      </c>
      <c r="F40" s="11">
        <f t="shared" si="1"/>
        <v>170.95387499999998</v>
      </c>
      <c r="G40" s="11">
        <f t="shared" si="2"/>
        <v>341.90774999999996</v>
      </c>
    </row>
    <row r="41" spans="4:7" x14ac:dyDescent="0.25">
      <c r="D41" s="11">
        <v>14</v>
      </c>
      <c r="E41" s="11">
        <f t="shared" si="0"/>
        <v>5.8999999999999995</v>
      </c>
      <c r="F41" s="11">
        <f t="shared" si="1"/>
        <v>205.37899999999996</v>
      </c>
      <c r="G41" s="11">
        <f t="shared" si="2"/>
        <v>410.75799999999992</v>
      </c>
    </row>
    <row r="42" spans="4:7" x14ac:dyDescent="0.25">
      <c r="D42" s="11">
        <v>15</v>
      </c>
      <c r="E42" s="11">
        <f t="shared" si="0"/>
        <v>6.25</v>
      </c>
      <c r="F42" s="11">
        <f t="shared" si="1"/>
        <v>244.140625</v>
      </c>
      <c r="G42" s="11">
        <f t="shared" si="2"/>
        <v>488.28125</v>
      </c>
    </row>
    <row r="43" spans="4:7" x14ac:dyDescent="0.25">
      <c r="D43" s="11">
        <v>16</v>
      </c>
      <c r="E43" s="11">
        <f t="shared" si="0"/>
        <v>6.6</v>
      </c>
      <c r="F43" s="11">
        <f t="shared" si="1"/>
        <v>287.49599999999998</v>
      </c>
      <c r="G43" s="11">
        <f t="shared" si="2"/>
        <v>574.99199999999996</v>
      </c>
    </row>
    <row r="44" spans="4:7" x14ac:dyDescent="0.25">
      <c r="D44" s="11">
        <v>17</v>
      </c>
      <c r="E44" s="11">
        <f t="shared" si="0"/>
        <v>6.9499999999999993</v>
      </c>
      <c r="F44" s="11">
        <f t="shared" si="1"/>
        <v>335.7023749999999</v>
      </c>
      <c r="G44" s="11">
        <f t="shared" si="2"/>
        <v>671.40474999999981</v>
      </c>
    </row>
    <row r="45" spans="4:7" x14ac:dyDescent="0.25">
      <c r="D45" s="11">
        <v>18</v>
      </c>
      <c r="E45" s="11">
        <f t="shared" si="0"/>
        <v>7.3</v>
      </c>
      <c r="F45" s="11">
        <f t="shared" si="1"/>
        <v>389.017</v>
      </c>
      <c r="G45" s="11">
        <f t="shared" si="2"/>
        <v>778.03399999999999</v>
      </c>
    </row>
    <row r="46" spans="4:7" x14ac:dyDescent="0.25">
      <c r="D46" s="11">
        <v>19</v>
      </c>
      <c r="E46" s="11">
        <f t="shared" si="0"/>
        <v>7.6499999999999995</v>
      </c>
      <c r="F46" s="11">
        <f t="shared" si="1"/>
        <v>447.69712499999991</v>
      </c>
      <c r="G46" s="11">
        <f t="shared" si="2"/>
        <v>895.39424999999983</v>
      </c>
    </row>
    <row r="47" spans="4:7" x14ac:dyDescent="0.25">
      <c r="D47" s="11">
        <v>20</v>
      </c>
      <c r="E47" s="11">
        <f t="shared" si="0"/>
        <v>8</v>
      </c>
      <c r="F47" s="11">
        <f t="shared" si="1"/>
        <v>512</v>
      </c>
      <c r="G47" s="58">
        <f>F47</f>
        <v>512</v>
      </c>
    </row>
    <row r="48" spans="4:7" x14ac:dyDescent="0.25">
      <c r="F48" s="11" t="s">
        <v>60</v>
      </c>
      <c r="G48" s="11">
        <f>SUM(G27:G47)</f>
        <v>5861.0249999999978</v>
      </c>
    </row>
    <row r="49" spans="2:21" ht="30" x14ac:dyDescent="0.25">
      <c r="F49" s="64" t="s">
        <v>59</v>
      </c>
      <c r="G49" s="43">
        <f>G48*E25</f>
        <v>1025.6793749999995</v>
      </c>
    </row>
    <row r="51" spans="2:21" x14ac:dyDescent="0.25">
      <c r="B51" s="41" t="s">
        <v>37</v>
      </c>
      <c r="C51" s="40"/>
      <c r="D51" s="40"/>
      <c r="E51" s="40"/>
      <c r="F51" s="40"/>
      <c r="G51" s="40"/>
      <c r="H51" s="40"/>
      <c r="I51" s="40"/>
      <c r="J51" s="40"/>
      <c r="K51" s="40"/>
      <c r="L51" s="40"/>
      <c r="M51" s="40"/>
      <c r="N51" s="40"/>
      <c r="O51" s="40"/>
      <c r="P51" s="40"/>
      <c r="Q51" s="40"/>
      <c r="R51" s="40"/>
      <c r="S51" s="40"/>
      <c r="T51" s="40"/>
    </row>
    <row r="52" spans="2:21" x14ac:dyDescent="0.25">
      <c r="C52" t="s">
        <v>275</v>
      </c>
      <c r="J52" s="30"/>
      <c r="K52" s="30"/>
      <c r="L52" s="30"/>
      <c r="M52" s="30"/>
      <c r="N52" s="30"/>
      <c r="O52" s="30"/>
      <c r="P52" s="30"/>
      <c r="Q52" s="30"/>
      <c r="R52" s="30"/>
      <c r="S52" s="30"/>
    </row>
    <row r="53" spans="2:21" x14ac:dyDescent="0.25">
      <c r="D53" t="s">
        <v>163</v>
      </c>
      <c r="J53" s="30"/>
      <c r="K53" s="30"/>
      <c r="L53" s="30"/>
      <c r="M53" s="30"/>
      <c r="N53" s="30"/>
      <c r="O53" s="30"/>
      <c r="P53" s="30"/>
      <c r="Q53" s="30"/>
      <c r="R53" s="30"/>
      <c r="S53" s="30"/>
    </row>
    <row r="54" spans="2:21" x14ac:dyDescent="0.25">
      <c r="E54" s="102" t="s">
        <v>73</v>
      </c>
      <c r="F54" s="102"/>
      <c r="G54" s="102"/>
      <c r="H54" s="110" t="s">
        <v>74</v>
      </c>
      <c r="I54" s="110"/>
      <c r="J54" s="110"/>
      <c r="K54" s="102" t="s">
        <v>75</v>
      </c>
      <c r="L54" s="102"/>
      <c r="M54" s="102"/>
      <c r="N54" s="110" t="s">
        <v>76</v>
      </c>
      <c r="O54" s="110"/>
      <c r="P54" s="110"/>
      <c r="Q54" s="102" t="s">
        <v>77</v>
      </c>
      <c r="R54" s="102"/>
      <c r="S54" s="102"/>
      <c r="U54" s="49"/>
    </row>
    <row r="55" spans="2:21" s="29" customFormat="1" ht="45.75" thickBot="1" x14ac:dyDescent="0.3">
      <c r="B55" s="85" t="s">
        <v>63</v>
      </c>
      <c r="C55" s="62"/>
      <c r="D55" s="62"/>
      <c r="E55" s="62"/>
      <c r="F55" s="62"/>
      <c r="G55" s="86" t="s">
        <v>164</v>
      </c>
      <c r="H55" s="62"/>
      <c r="I55" s="62"/>
      <c r="J55" s="84" t="s">
        <v>164</v>
      </c>
      <c r="K55" s="62"/>
      <c r="L55" s="62"/>
      <c r="M55" s="84" t="s">
        <v>164</v>
      </c>
      <c r="N55" s="62"/>
      <c r="O55" s="62"/>
      <c r="P55" s="84" t="s">
        <v>164</v>
      </c>
      <c r="Q55" s="62"/>
      <c r="R55" s="62"/>
      <c r="S55" s="85" t="s">
        <v>164</v>
      </c>
    </row>
    <row r="56" spans="2:21" ht="15.75" thickTop="1" x14ac:dyDescent="0.25">
      <c r="B56" s="12">
        <v>1</v>
      </c>
      <c r="C56" s="12">
        <f>($D$14-$D$13)/B56</f>
        <v>7</v>
      </c>
      <c r="D56" s="12">
        <v>0</v>
      </c>
      <c r="E56" s="12">
        <f t="shared" ref="E56:E72" si="3">$D$13+D56*$C$60</f>
        <v>1</v>
      </c>
      <c r="F56" s="12">
        <f>E56^3</f>
        <v>1</v>
      </c>
      <c r="G56" s="60">
        <f>F56</f>
        <v>1</v>
      </c>
      <c r="H56" s="12">
        <f t="shared" ref="H56:H64" si="4">$D$13+D56*$C$59</f>
        <v>1</v>
      </c>
      <c r="I56" s="12">
        <f>H56^3</f>
        <v>1</v>
      </c>
      <c r="J56" s="61">
        <f>I56</f>
        <v>1</v>
      </c>
      <c r="K56" s="12">
        <f>$D$13+D56*$C$58</f>
        <v>1</v>
      </c>
      <c r="L56" s="12">
        <f>K56^3</f>
        <v>1</v>
      </c>
      <c r="M56" s="61">
        <f>L56</f>
        <v>1</v>
      </c>
      <c r="N56" s="12">
        <f>$D$13+D56*$C$57</f>
        <v>1</v>
      </c>
      <c r="O56" s="12">
        <f>N56^3</f>
        <v>1</v>
      </c>
      <c r="P56" s="61">
        <f>O56</f>
        <v>1</v>
      </c>
      <c r="Q56" s="12">
        <f>$D$13+D56*$C$56</f>
        <v>1</v>
      </c>
      <c r="R56" s="12">
        <f>Q56^3</f>
        <v>1</v>
      </c>
      <c r="S56" s="61">
        <f>R56</f>
        <v>1</v>
      </c>
    </row>
    <row r="57" spans="2:21" x14ac:dyDescent="0.25">
      <c r="B57" s="11">
        <v>2</v>
      </c>
      <c r="C57" s="11">
        <f t="shared" ref="C57:C60" si="5">($D$14-$D$13)/B57</f>
        <v>3.5</v>
      </c>
      <c r="D57" s="11">
        <v>1</v>
      </c>
      <c r="E57" s="11">
        <f t="shared" si="3"/>
        <v>1.4375</v>
      </c>
      <c r="F57" s="11">
        <f t="shared" ref="F57:F72" si="6">E57^3</f>
        <v>2.970458984375</v>
      </c>
      <c r="G57" s="59">
        <f>F57*2</f>
        <v>5.94091796875</v>
      </c>
      <c r="H57" s="11">
        <f t="shared" si="4"/>
        <v>1.875</v>
      </c>
      <c r="I57" s="11">
        <f t="shared" ref="I57:I64" si="7">H57^3</f>
        <v>6.591796875</v>
      </c>
      <c r="J57" s="11">
        <f>I57*2</f>
        <v>13.18359375</v>
      </c>
      <c r="K57" s="11">
        <f>$D$13+D57*$C$58</f>
        <v>2.75</v>
      </c>
      <c r="L57" s="11">
        <f t="shared" ref="L57:L60" si="8">K57^3</f>
        <v>20.796875</v>
      </c>
      <c r="M57" s="11">
        <f>L57*2</f>
        <v>41.59375</v>
      </c>
      <c r="N57" s="11">
        <f>$D$13+D57*$C$57</f>
        <v>4.5</v>
      </c>
      <c r="O57" s="11">
        <f t="shared" ref="O57:O58" si="9">N57^3</f>
        <v>91.125</v>
      </c>
      <c r="P57" s="11">
        <f>O57*2</f>
        <v>182.25</v>
      </c>
      <c r="Q57" s="11">
        <f>$D$13+D57*$C$56</f>
        <v>8</v>
      </c>
      <c r="R57" s="11">
        <f>Q57^3</f>
        <v>512</v>
      </c>
      <c r="S57" s="58">
        <f>R57</f>
        <v>512</v>
      </c>
    </row>
    <row r="58" spans="2:21" x14ac:dyDescent="0.25">
      <c r="B58" s="11">
        <v>4</v>
      </c>
      <c r="C58" s="11">
        <f t="shared" si="5"/>
        <v>1.75</v>
      </c>
      <c r="D58" s="11">
        <v>2</v>
      </c>
      <c r="E58" s="11">
        <f t="shared" si="3"/>
        <v>1.875</v>
      </c>
      <c r="F58" s="11">
        <f t="shared" si="6"/>
        <v>6.591796875</v>
      </c>
      <c r="G58" s="59">
        <f t="shared" ref="G58:G70" si="10">F58*2</f>
        <v>13.18359375</v>
      </c>
      <c r="H58" s="11">
        <f t="shared" si="4"/>
        <v>2.75</v>
      </c>
      <c r="I58" s="11">
        <f t="shared" si="7"/>
        <v>20.796875</v>
      </c>
      <c r="J58" s="11">
        <f t="shared" ref="J58:J63" si="11">I58*2</f>
        <v>41.59375</v>
      </c>
      <c r="K58" s="11">
        <f>$D$13+D58*$C$58</f>
        <v>4.5</v>
      </c>
      <c r="L58" s="11">
        <f t="shared" si="8"/>
        <v>91.125</v>
      </c>
      <c r="M58" s="11">
        <f t="shared" ref="M58:M59" si="12">L58*2</f>
        <v>182.25</v>
      </c>
      <c r="N58" s="11">
        <f>$D$13+D58*$C$57</f>
        <v>8</v>
      </c>
      <c r="O58" s="11">
        <f t="shared" si="9"/>
        <v>512</v>
      </c>
      <c r="P58" s="58">
        <f>O58</f>
        <v>512</v>
      </c>
    </row>
    <row r="59" spans="2:21" x14ac:dyDescent="0.25">
      <c r="B59" s="11">
        <v>8</v>
      </c>
      <c r="C59" s="11">
        <f t="shared" si="5"/>
        <v>0.875</v>
      </c>
      <c r="D59" s="11">
        <v>3</v>
      </c>
      <c r="E59" s="11">
        <f t="shared" si="3"/>
        <v>2.3125</v>
      </c>
      <c r="F59" s="11">
        <f t="shared" si="6"/>
        <v>12.366455078125</v>
      </c>
      <c r="G59" s="59">
        <f t="shared" si="10"/>
        <v>24.73291015625</v>
      </c>
      <c r="H59" s="11">
        <f t="shared" si="4"/>
        <v>3.625</v>
      </c>
      <c r="I59" s="11">
        <f t="shared" si="7"/>
        <v>47.634765625</v>
      </c>
      <c r="J59" s="11">
        <f t="shared" si="11"/>
        <v>95.26953125</v>
      </c>
      <c r="K59" s="11">
        <f>$D$13+D59*$C$58</f>
        <v>6.25</v>
      </c>
      <c r="L59" s="11">
        <f t="shared" si="8"/>
        <v>244.140625</v>
      </c>
      <c r="M59" s="11">
        <f t="shared" si="12"/>
        <v>488.28125</v>
      </c>
    </row>
    <row r="60" spans="2:21" x14ac:dyDescent="0.25">
      <c r="B60" s="11">
        <v>16</v>
      </c>
      <c r="C60" s="11">
        <f t="shared" si="5"/>
        <v>0.4375</v>
      </c>
      <c r="D60" s="11">
        <v>4</v>
      </c>
      <c r="E60" s="11">
        <f t="shared" si="3"/>
        <v>2.75</v>
      </c>
      <c r="F60" s="11">
        <f t="shared" si="6"/>
        <v>20.796875</v>
      </c>
      <c r="G60" s="59">
        <f t="shared" si="10"/>
        <v>41.59375</v>
      </c>
      <c r="H60" s="11">
        <f t="shared" si="4"/>
        <v>4.5</v>
      </c>
      <c r="I60" s="11">
        <f t="shared" si="7"/>
        <v>91.125</v>
      </c>
      <c r="J60" s="11">
        <f t="shared" si="11"/>
        <v>182.25</v>
      </c>
      <c r="K60" s="11">
        <f>$D$13+D60*$C$58</f>
        <v>8</v>
      </c>
      <c r="L60" s="11">
        <f t="shared" si="8"/>
        <v>512</v>
      </c>
      <c r="M60" s="58">
        <f>L60</f>
        <v>512</v>
      </c>
    </row>
    <row r="61" spans="2:21" ht="17.25" customHeight="1" x14ac:dyDescent="0.25">
      <c r="B61" s="76" t="s">
        <v>63</v>
      </c>
      <c r="C61" s="11"/>
      <c r="D61" s="11">
        <v>5</v>
      </c>
      <c r="E61" s="11">
        <f t="shared" si="3"/>
        <v>3.1875</v>
      </c>
      <c r="F61" s="11">
        <f t="shared" si="6"/>
        <v>32.385498046875</v>
      </c>
      <c r="G61" s="59">
        <f t="shared" si="10"/>
        <v>64.77099609375</v>
      </c>
      <c r="H61" s="11">
        <f t="shared" si="4"/>
        <v>5.375</v>
      </c>
      <c r="I61" s="11">
        <f t="shared" si="7"/>
        <v>155.287109375</v>
      </c>
      <c r="J61" s="11">
        <f t="shared" si="11"/>
        <v>310.57421875</v>
      </c>
    </row>
    <row r="62" spans="2:21" x14ac:dyDescent="0.25">
      <c r="B62" s="11">
        <v>1</v>
      </c>
      <c r="C62" s="11">
        <f>C56/2</f>
        <v>3.5</v>
      </c>
      <c r="D62" s="11">
        <v>6</v>
      </c>
      <c r="E62" s="11">
        <f t="shared" si="3"/>
        <v>3.625</v>
      </c>
      <c r="F62" s="11">
        <f t="shared" si="6"/>
        <v>47.634765625</v>
      </c>
      <c r="G62" s="59">
        <f t="shared" si="10"/>
        <v>95.26953125</v>
      </c>
      <c r="H62" s="11">
        <f t="shared" si="4"/>
        <v>6.25</v>
      </c>
      <c r="I62" s="11">
        <f t="shared" si="7"/>
        <v>244.140625</v>
      </c>
      <c r="J62" s="11">
        <f t="shared" si="11"/>
        <v>488.28125</v>
      </c>
    </row>
    <row r="63" spans="2:21" x14ac:dyDescent="0.25">
      <c r="B63" s="11">
        <v>2</v>
      </c>
      <c r="C63" s="11">
        <f t="shared" ref="C63:C66" si="13">C57/2</f>
        <v>1.75</v>
      </c>
      <c r="D63" s="11">
        <v>7</v>
      </c>
      <c r="E63" s="11">
        <f t="shared" si="3"/>
        <v>4.0625</v>
      </c>
      <c r="F63" s="11">
        <f t="shared" si="6"/>
        <v>67.047119140625</v>
      </c>
      <c r="G63" s="59">
        <f t="shared" si="10"/>
        <v>134.09423828125</v>
      </c>
      <c r="H63" s="11">
        <f t="shared" si="4"/>
        <v>7.125</v>
      </c>
      <c r="I63" s="11">
        <f t="shared" si="7"/>
        <v>361.705078125</v>
      </c>
      <c r="J63" s="11">
        <f t="shared" si="11"/>
        <v>723.41015625</v>
      </c>
    </row>
    <row r="64" spans="2:21" x14ac:dyDescent="0.25">
      <c r="B64" s="11">
        <v>4</v>
      </c>
      <c r="C64" s="11">
        <f t="shared" si="13"/>
        <v>0.875</v>
      </c>
      <c r="D64" s="11">
        <v>8</v>
      </c>
      <c r="E64" s="11">
        <f t="shared" si="3"/>
        <v>4.5</v>
      </c>
      <c r="F64" s="11">
        <f t="shared" si="6"/>
        <v>91.125</v>
      </c>
      <c r="G64" s="59">
        <f t="shared" si="10"/>
        <v>182.25</v>
      </c>
      <c r="H64" s="11">
        <f t="shared" si="4"/>
        <v>8</v>
      </c>
      <c r="I64" s="11">
        <f t="shared" si="7"/>
        <v>512</v>
      </c>
      <c r="J64" s="58">
        <f>I64</f>
        <v>512</v>
      </c>
    </row>
    <row r="65" spans="2:19" x14ac:dyDescent="0.25">
      <c r="B65" s="11">
        <v>8</v>
      </c>
      <c r="C65" s="11">
        <f t="shared" si="13"/>
        <v>0.4375</v>
      </c>
      <c r="D65" s="11">
        <v>9</v>
      </c>
      <c r="E65" s="11">
        <f t="shared" si="3"/>
        <v>4.9375</v>
      </c>
      <c r="F65" s="11">
        <f t="shared" si="6"/>
        <v>120.370849609375</v>
      </c>
      <c r="G65" s="11">
        <f t="shared" si="10"/>
        <v>240.74169921875</v>
      </c>
    </row>
    <row r="66" spans="2:19" x14ac:dyDescent="0.25">
      <c r="B66" s="11">
        <v>16</v>
      </c>
      <c r="C66" s="11">
        <f t="shared" si="13"/>
        <v>0.21875</v>
      </c>
      <c r="D66" s="11">
        <v>10</v>
      </c>
      <c r="E66" s="11">
        <f t="shared" si="3"/>
        <v>5.375</v>
      </c>
      <c r="F66" s="11">
        <f t="shared" si="6"/>
        <v>155.287109375</v>
      </c>
      <c r="G66" s="11">
        <f t="shared" si="10"/>
        <v>310.57421875</v>
      </c>
    </row>
    <row r="67" spans="2:19" x14ac:dyDescent="0.25">
      <c r="D67" s="11">
        <v>11</v>
      </c>
      <c r="E67" s="11">
        <f t="shared" si="3"/>
        <v>5.8125</v>
      </c>
      <c r="F67" s="11">
        <f t="shared" si="6"/>
        <v>196.376220703125</v>
      </c>
      <c r="G67" s="11">
        <f t="shared" si="10"/>
        <v>392.75244140625</v>
      </c>
    </row>
    <row r="68" spans="2:19" x14ac:dyDescent="0.25">
      <c r="D68" s="11">
        <v>12</v>
      </c>
      <c r="E68" s="11">
        <f t="shared" si="3"/>
        <v>6.25</v>
      </c>
      <c r="F68" s="11">
        <f t="shared" si="6"/>
        <v>244.140625</v>
      </c>
      <c r="G68" s="11">
        <f t="shared" si="10"/>
        <v>488.28125</v>
      </c>
    </row>
    <row r="69" spans="2:19" x14ac:dyDescent="0.25">
      <c r="D69" s="11">
        <v>13</v>
      </c>
      <c r="E69" s="11">
        <f t="shared" si="3"/>
        <v>6.6875</v>
      </c>
      <c r="F69" s="11">
        <f t="shared" si="6"/>
        <v>299.082763671875</v>
      </c>
      <c r="G69" s="11">
        <f t="shared" si="10"/>
        <v>598.16552734375</v>
      </c>
    </row>
    <row r="70" spans="2:19" x14ac:dyDescent="0.25">
      <c r="D70" s="11">
        <v>14</v>
      </c>
      <c r="E70" s="11">
        <f t="shared" si="3"/>
        <v>7.125</v>
      </c>
      <c r="F70" s="11">
        <f t="shared" si="6"/>
        <v>361.705078125</v>
      </c>
      <c r="G70" s="11">
        <f t="shared" si="10"/>
        <v>723.41015625</v>
      </c>
    </row>
    <row r="71" spans="2:19" x14ac:dyDescent="0.25">
      <c r="D71" s="11">
        <v>15</v>
      </c>
      <c r="E71" s="11">
        <f t="shared" si="3"/>
        <v>7.5625</v>
      </c>
      <c r="F71" s="11">
        <f t="shared" si="6"/>
        <v>432.510009765625</v>
      </c>
      <c r="G71" s="11">
        <f>F71*2</f>
        <v>865.02001953125</v>
      </c>
    </row>
    <row r="72" spans="2:19" x14ac:dyDescent="0.25">
      <c r="D72" s="11">
        <v>16</v>
      </c>
      <c r="E72" s="11">
        <f t="shared" si="3"/>
        <v>8</v>
      </c>
      <c r="F72" s="11">
        <f t="shared" si="6"/>
        <v>512</v>
      </c>
      <c r="G72" s="58">
        <f>F72</f>
        <v>512</v>
      </c>
    </row>
    <row r="73" spans="2:19" x14ac:dyDescent="0.25">
      <c r="F73" s="11" t="s">
        <v>60</v>
      </c>
      <c r="G73" s="11">
        <f>SUM(G56:G72)</f>
        <v>4693.78125</v>
      </c>
      <c r="I73" s="11" t="s">
        <v>60</v>
      </c>
      <c r="J73" s="11">
        <f>SUM(J56:J72)</f>
        <v>2367.5625</v>
      </c>
      <c r="L73" s="11" t="s">
        <v>60</v>
      </c>
      <c r="M73" s="11">
        <f>SUM(M56:M72)</f>
        <v>1225.125</v>
      </c>
      <c r="O73" s="11" t="s">
        <v>60</v>
      </c>
      <c r="P73" s="11">
        <f>SUM(P56:P72)</f>
        <v>695.25</v>
      </c>
      <c r="R73" s="11" t="s">
        <v>60</v>
      </c>
      <c r="S73" s="11">
        <f>SUM(S56:S72)</f>
        <v>513</v>
      </c>
    </row>
    <row r="74" spans="2:19" ht="30" x14ac:dyDescent="0.25">
      <c r="F74" s="52" t="s">
        <v>64</v>
      </c>
      <c r="G74" s="11">
        <f>G73*C66</f>
        <v>1026.7646484375</v>
      </c>
      <c r="I74" s="52" t="s">
        <v>64</v>
      </c>
      <c r="J74" s="11">
        <f>J73*C65</f>
        <v>1035.80859375</v>
      </c>
      <c r="L74" s="52" t="s">
        <v>64</v>
      </c>
      <c r="M74" s="11">
        <f>M73*C64</f>
        <v>1071.984375</v>
      </c>
      <c r="O74" s="52" t="s">
        <v>64</v>
      </c>
      <c r="P74" s="11">
        <f>P73*C63</f>
        <v>1216.6875</v>
      </c>
      <c r="R74" s="52" t="s">
        <v>64</v>
      </c>
      <c r="S74" s="11">
        <f>S73*C62</f>
        <v>1795.5</v>
      </c>
    </row>
    <row r="76" spans="2:19" x14ac:dyDescent="0.25">
      <c r="E76" s="109" t="s">
        <v>61</v>
      </c>
      <c r="F76" s="109"/>
      <c r="G76" s="109"/>
      <c r="H76" s="109"/>
      <c r="I76" s="109"/>
    </row>
    <row r="77" spans="2:19" x14ac:dyDescent="0.25">
      <c r="E77" s="56">
        <v>1</v>
      </c>
      <c r="F77" s="56">
        <v>2</v>
      </c>
      <c r="G77" s="56">
        <v>3</v>
      </c>
      <c r="H77" s="56">
        <v>4</v>
      </c>
      <c r="I77" s="56">
        <v>5</v>
      </c>
    </row>
    <row r="78" spans="2:19" ht="45" x14ac:dyDescent="0.25">
      <c r="C78" s="54" t="s">
        <v>54</v>
      </c>
      <c r="D78" s="54" t="s">
        <v>62</v>
      </c>
      <c r="E78" s="55" t="s">
        <v>65</v>
      </c>
      <c r="F78" s="55" t="s">
        <v>66</v>
      </c>
      <c r="G78" s="55" t="s">
        <v>67</v>
      </c>
      <c r="H78" s="55" t="s">
        <v>68</v>
      </c>
      <c r="I78" s="55" t="s">
        <v>69</v>
      </c>
    </row>
    <row r="79" spans="2:19" x14ac:dyDescent="0.25">
      <c r="C79" s="11">
        <v>1</v>
      </c>
      <c r="D79" s="11">
        <v>1</v>
      </c>
      <c r="E79" s="11">
        <f>S74</f>
        <v>1795.5</v>
      </c>
      <c r="F79" s="32">
        <f>(((4^($F$77-1))*E80-E79))/((4^($F$77-1))-1)</f>
        <v>1023.75</v>
      </c>
      <c r="G79" s="32">
        <f>(((4^($G$77-1))*F80-F79))/((4^($G$77-1))-1)</f>
        <v>1023.75</v>
      </c>
      <c r="H79" s="32">
        <f>(((4^($H$77-1))*G80-G79))/((4^($H$77-1))-1)</f>
        <v>1023.75</v>
      </c>
      <c r="I79" s="32">
        <f>(((4^($I$77-1))*H80-H79))/((4^($I$77-1))-1)</f>
        <v>1023.75</v>
      </c>
    </row>
    <row r="80" spans="2:19" x14ac:dyDescent="0.25">
      <c r="C80" s="11">
        <v>2</v>
      </c>
      <c r="D80" s="11">
        <v>2</v>
      </c>
      <c r="E80" s="11">
        <f>P74</f>
        <v>1216.6875</v>
      </c>
      <c r="F80" s="32">
        <f>(((4^($F$77-1))*E81-E80))/((4^($F$77-1))-1)</f>
        <v>1023.75</v>
      </c>
      <c r="G80" s="32">
        <f t="shared" ref="G80:G81" si="14">(((4^($G$77-1))*F81-F80))/((4^($G$77-1))-1)</f>
        <v>1023.75</v>
      </c>
      <c r="H80" s="32">
        <f>(((4^($H$77-1))*G81-G80))/((4^($H$77-1))-1)</f>
        <v>1023.75</v>
      </c>
    </row>
    <row r="81" spans="2:20" x14ac:dyDescent="0.25">
      <c r="C81" s="11">
        <v>4</v>
      </c>
      <c r="D81" s="11">
        <v>3</v>
      </c>
      <c r="E81" s="11">
        <f>M74</f>
        <v>1071.984375</v>
      </c>
      <c r="F81" s="32">
        <f>(((4^($F$77-1))*E82-E81))/((4^($F$77-1))-1)</f>
        <v>1023.75</v>
      </c>
      <c r="G81" s="32">
        <f t="shared" si="14"/>
        <v>1023.75</v>
      </c>
    </row>
    <row r="82" spans="2:20" x14ac:dyDescent="0.25">
      <c r="C82" s="11">
        <v>8</v>
      </c>
      <c r="D82" s="11">
        <v>4</v>
      </c>
      <c r="E82" s="11">
        <f>J74</f>
        <v>1035.80859375</v>
      </c>
      <c r="F82" s="32">
        <f>(((4^($F$77-1))*E83-E82))/((4^($F$77-1))-1)</f>
        <v>1023.75</v>
      </c>
    </row>
    <row r="83" spans="2:20" x14ac:dyDescent="0.25">
      <c r="C83" s="11">
        <v>16</v>
      </c>
      <c r="D83" s="11">
        <v>5</v>
      </c>
      <c r="E83" s="11">
        <f>G74</f>
        <v>1026.7646484375</v>
      </c>
    </row>
    <row r="85" spans="2:20" x14ac:dyDescent="0.25">
      <c r="F85" s="5" t="s">
        <v>70</v>
      </c>
    </row>
    <row r="86" spans="2:20" x14ac:dyDescent="0.25">
      <c r="F86" s="5" t="s">
        <v>71</v>
      </c>
    </row>
    <row r="87" spans="2:20" x14ac:dyDescent="0.25">
      <c r="F87" s="5" t="s">
        <v>72</v>
      </c>
    </row>
    <row r="88" spans="2:20" x14ac:dyDescent="0.25">
      <c r="F88" s="5"/>
    </row>
    <row r="89" spans="2:20" x14ac:dyDescent="0.25">
      <c r="E89" t="s">
        <v>87</v>
      </c>
    </row>
    <row r="91" spans="2:20" x14ac:dyDescent="0.25">
      <c r="B91" s="41" t="s">
        <v>80</v>
      </c>
      <c r="C91" s="40"/>
      <c r="D91" s="40"/>
      <c r="E91" s="40"/>
      <c r="F91" s="40"/>
      <c r="G91" s="40"/>
      <c r="H91" s="40"/>
      <c r="I91" s="40"/>
      <c r="J91" s="40"/>
      <c r="K91" s="40"/>
      <c r="L91" s="40"/>
      <c r="M91" s="40"/>
      <c r="N91" s="40"/>
      <c r="O91" s="40"/>
      <c r="P91" s="40"/>
      <c r="Q91" s="40"/>
      <c r="R91" s="40"/>
      <c r="S91" s="40"/>
      <c r="T91" s="40"/>
    </row>
    <row r="92" spans="2:20" x14ac:dyDescent="0.25">
      <c r="C92" t="s">
        <v>86</v>
      </c>
    </row>
    <row r="93" spans="2:20" ht="37.5" customHeight="1" x14ac:dyDescent="0.25">
      <c r="B93" s="11"/>
      <c r="C93" s="53">
        <f>(D14-D13)/C103</f>
        <v>1</v>
      </c>
    </row>
    <row r="94" spans="2:20" ht="81.75" customHeight="1" x14ac:dyDescent="0.25">
      <c r="B94" s="54" t="s">
        <v>81</v>
      </c>
      <c r="C94" s="11"/>
      <c r="D94" s="11"/>
      <c r="E94" s="11"/>
      <c r="F94" s="53" t="s">
        <v>85</v>
      </c>
      <c r="G94" s="11"/>
      <c r="H94" s="107"/>
      <c r="I94" s="107"/>
    </row>
    <row r="95" spans="2:20" x14ac:dyDescent="0.25">
      <c r="B95" s="103" t="s">
        <v>82</v>
      </c>
      <c r="C95" s="11">
        <v>0</v>
      </c>
      <c r="D95" s="11">
        <f>$D$13+C95*$C$93</f>
        <v>1</v>
      </c>
      <c r="E95" s="11">
        <f>D95^3</f>
        <v>1</v>
      </c>
      <c r="F95" s="11">
        <v>1</v>
      </c>
      <c r="G95" s="11">
        <f>E95*F95</f>
        <v>1</v>
      </c>
      <c r="H95" s="111">
        <f>C93*1/3*SUM(G95:G99)</f>
        <v>156</v>
      </c>
      <c r="I95" s="111"/>
      <c r="K95" t="s">
        <v>280</v>
      </c>
    </row>
    <row r="96" spans="2:20" x14ac:dyDescent="0.25">
      <c r="B96" s="103"/>
      <c r="C96" s="11">
        <v>1</v>
      </c>
      <c r="D96" s="11">
        <f t="shared" ref="D96:D103" si="15">$D$13+C96*$C$93</f>
        <v>2</v>
      </c>
      <c r="E96" s="11">
        <f t="shared" ref="E96:E103" si="16">D96^3</f>
        <v>8</v>
      </c>
      <c r="F96" s="11">
        <v>4</v>
      </c>
      <c r="G96" s="11">
        <f t="shared" ref="G96:G102" si="17">E96*F96</f>
        <v>32</v>
      </c>
      <c r="H96" s="107"/>
      <c r="I96" s="107"/>
    </row>
    <row r="97" spans="2:15" x14ac:dyDescent="0.25">
      <c r="B97" s="103"/>
      <c r="C97" s="11">
        <v>2</v>
      </c>
      <c r="D97" s="11">
        <f t="shared" si="15"/>
        <v>3</v>
      </c>
      <c r="E97" s="11">
        <f t="shared" si="16"/>
        <v>27</v>
      </c>
      <c r="F97" s="11">
        <v>2</v>
      </c>
      <c r="G97" s="11">
        <f t="shared" si="17"/>
        <v>54</v>
      </c>
      <c r="H97" s="107"/>
      <c r="I97" s="107"/>
    </row>
    <row r="98" spans="2:15" x14ac:dyDescent="0.25">
      <c r="B98" s="103"/>
      <c r="C98" s="11">
        <v>3</v>
      </c>
      <c r="D98" s="11">
        <f t="shared" si="15"/>
        <v>4</v>
      </c>
      <c r="E98" s="11">
        <f t="shared" si="16"/>
        <v>64</v>
      </c>
      <c r="F98" s="11">
        <v>4</v>
      </c>
      <c r="G98" s="11">
        <f t="shared" si="17"/>
        <v>256</v>
      </c>
      <c r="H98" s="107"/>
      <c r="I98" s="107"/>
    </row>
    <row r="99" spans="2:15" x14ac:dyDescent="0.25">
      <c r="B99" s="103"/>
      <c r="C99" s="11">
        <v>4</v>
      </c>
      <c r="D99" s="11">
        <f t="shared" si="15"/>
        <v>5</v>
      </c>
      <c r="E99" s="11">
        <f t="shared" si="16"/>
        <v>125</v>
      </c>
      <c r="F99" s="11">
        <v>1</v>
      </c>
      <c r="G99" s="11">
        <f t="shared" si="17"/>
        <v>125</v>
      </c>
      <c r="H99" s="107"/>
      <c r="I99" s="107"/>
    </row>
    <row r="100" spans="2:15" x14ac:dyDescent="0.25">
      <c r="B100" s="103" t="s">
        <v>83</v>
      </c>
      <c r="C100" s="11">
        <v>4</v>
      </c>
      <c r="D100" s="11">
        <f t="shared" si="15"/>
        <v>5</v>
      </c>
      <c r="E100" s="11">
        <f t="shared" si="16"/>
        <v>125</v>
      </c>
      <c r="F100" s="11">
        <v>1</v>
      </c>
      <c r="G100" s="11">
        <f t="shared" si="17"/>
        <v>125</v>
      </c>
      <c r="H100" s="108">
        <f>C93*3/8*SUM(G100:G103)</f>
        <v>867.75</v>
      </c>
      <c r="I100" s="108"/>
    </row>
    <row r="101" spans="2:15" x14ac:dyDescent="0.25">
      <c r="B101" s="103"/>
      <c r="C101" s="11">
        <v>5</v>
      </c>
      <c r="D101" s="11">
        <f t="shared" si="15"/>
        <v>6</v>
      </c>
      <c r="E101" s="11">
        <f t="shared" si="16"/>
        <v>216</v>
      </c>
      <c r="F101" s="11">
        <v>3</v>
      </c>
      <c r="G101" s="11">
        <f t="shared" si="17"/>
        <v>648</v>
      </c>
      <c r="H101" s="107"/>
      <c r="I101" s="107"/>
      <c r="K101" t="s">
        <v>281</v>
      </c>
    </row>
    <row r="102" spans="2:15" x14ac:dyDescent="0.25">
      <c r="B102" s="103"/>
      <c r="C102" s="11">
        <v>6</v>
      </c>
      <c r="D102" s="11">
        <f t="shared" si="15"/>
        <v>7</v>
      </c>
      <c r="E102" s="11">
        <f t="shared" si="16"/>
        <v>343</v>
      </c>
      <c r="F102" s="11">
        <v>3</v>
      </c>
      <c r="G102" s="11">
        <f t="shared" si="17"/>
        <v>1029</v>
      </c>
      <c r="H102" s="107"/>
      <c r="I102" s="107"/>
    </row>
    <row r="103" spans="2:15" x14ac:dyDescent="0.25">
      <c r="B103" s="103"/>
      <c r="C103" s="11">
        <v>7</v>
      </c>
      <c r="D103" s="11">
        <f t="shared" si="15"/>
        <v>8</v>
      </c>
      <c r="E103" s="11">
        <f t="shared" si="16"/>
        <v>512</v>
      </c>
      <c r="F103" s="11">
        <v>1</v>
      </c>
      <c r="G103" s="11">
        <f>E103*F103</f>
        <v>512</v>
      </c>
      <c r="H103" s="107"/>
      <c r="I103" s="107"/>
    </row>
    <row r="104" spans="2:15" x14ac:dyDescent="0.25">
      <c r="H104" s="113" t="s">
        <v>84</v>
      </c>
      <c r="I104" s="114"/>
    </row>
    <row r="105" spans="2:15" x14ac:dyDescent="0.25">
      <c r="H105" s="112">
        <f>H95+H100</f>
        <v>1023.75</v>
      </c>
      <c r="I105" s="112"/>
    </row>
    <row r="106" spans="2:15" x14ac:dyDescent="0.25">
      <c r="O106" t="s">
        <v>7</v>
      </c>
    </row>
    <row r="107" spans="2:15" ht="81.75" customHeight="1" x14ac:dyDescent="0.25">
      <c r="B107" s="54" t="s">
        <v>81</v>
      </c>
      <c r="C107" s="11"/>
      <c r="D107" s="11"/>
      <c r="E107" s="11"/>
      <c r="F107" s="53" t="s">
        <v>85</v>
      </c>
      <c r="G107" s="11"/>
      <c r="H107" s="107"/>
      <c r="I107" s="107"/>
    </row>
    <row r="108" spans="2:15" x14ac:dyDescent="0.25">
      <c r="B108" s="104" t="s">
        <v>83</v>
      </c>
      <c r="C108" s="11">
        <v>0</v>
      </c>
      <c r="D108" s="11">
        <f>$D$13+C108*$C$93</f>
        <v>1</v>
      </c>
      <c r="E108" s="11">
        <f>D108^3</f>
        <v>1</v>
      </c>
      <c r="F108" s="11">
        <v>1</v>
      </c>
      <c r="G108" s="11">
        <f>E108*F108</f>
        <v>1</v>
      </c>
      <c r="H108" s="108">
        <f>C93*3/8*SUM(G108:G111)</f>
        <v>63.75</v>
      </c>
      <c r="I108" s="108"/>
    </row>
    <row r="109" spans="2:15" x14ac:dyDescent="0.25">
      <c r="B109" s="105"/>
      <c r="C109" s="11">
        <v>1</v>
      </c>
      <c r="D109" s="11">
        <f t="shared" ref="D109:D116" si="18">$D$13+C109*$C$93</f>
        <v>2</v>
      </c>
      <c r="E109" s="11">
        <f t="shared" ref="E109:E116" si="19">D109^3</f>
        <v>8</v>
      </c>
      <c r="F109" s="11">
        <v>3</v>
      </c>
      <c r="G109" s="11">
        <f t="shared" ref="G109:G115" si="20">E109*F109</f>
        <v>24</v>
      </c>
      <c r="H109" s="107"/>
      <c r="I109" s="107"/>
    </row>
    <row r="110" spans="2:15" x14ac:dyDescent="0.25">
      <c r="B110" s="105"/>
      <c r="C110" s="11">
        <v>2</v>
      </c>
      <c r="D110" s="11">
        <f t="shared" si="18"/>
        <v>3</v>
      </c>
      <c r="E110" s="11">
        <f t="shared" si="19"/>
        <v>27</v>
      </c>
      <c r="F110" s="11">
        <v>3</v>
      </c>
      <c r="G110" s="11">
        <f t="shared" si="20"/>
        <v>81</v>
      </c>
      <c r="H110" s="107"/>
      <c r="I110" s="107"/>
    </row>
    <row r="111" spans="2:15" x14ac:dyDescent="0.25">
      <c r="B111" s="106"/>
      <c r="C111" s="11">
        <v>3</v>
      </c>
      <c r="D111" s="11">
        <f t="shared" si="18"/>
        <v>4</v>
      </c>
      <c r="E111" s="11">
        <f t="shared" si="19"/>
        <v>64</v>
      </c>
      <c r="F111" s="11">
        <v>1</v>
      </c>
      <c r="G111" s="11">
        <f t="shared" si="20"/>
        <v>64</v>
      </c>
      <c r="H111" s="107"/>
      <c r="I111" s="107"/>
    </row>
    <row r="112" spans="2:15" x14ac:dyDescent="0.25">
      <c r="B112" s="104" t="s">
        <v>82</v>
      </c>
      <c r="C112" s="11">
        <v>3</v>
      </c>
      <c r="D112" s="11">
        <f t="shared" si="18"/>
        <v>4</v>
      </c>
      <c r="E112" s="11">
        <f t="shared" si="19"/>
        <v>64</v>
      </c>
      <c r="F112" s="11">
        <v>1</v>
      </c>
      <c r="G112" s="11">
        <f t="shared" si="20"/>
        <v>64</v>
      </c>
      <c r="H112" s="111">
        <f>C93*1/3*SUM(G112:G116)</f>
        <v>960</v>
      </c>
      <c r="I112" s="111"/>
    </row>
    <row r="113" spans="2:9" x14ac:dyDescent="0.25">
      <c r="B113" s="105"/>
      <c r="C113" s="11">
        <v>4</v>
      </c>
      <c r="D113" s="11">
        <f t="shared" si="18"/>
        <v>5</v>
      </c>
      <c r="E113" s="11">
        <f t="shared" si="19"/>
        <v>125</v>
      </c>
      <c r="F113" s="11">
        <v>4</v>
      </c>
      <c r="G113" s="11">
        <f t="shared" si="20"/>
        <v>500</v>
      </c>
      <c r="H113" s="107"/>
      <c r="I113" s="107"/>
    </row>
    <row r="114" spans="2:9" x14ac:dyDescent="0.25">
      <c r="B114" s="105"/>
      <c r="C114" s="11">
        <v>5</v>
      </c>
      <c r="D114" s="11">
        <f t="shared" si="18"/>
        <v>6</v>
      </c>
      <c r="E114" s="11">
        <f t="shared" si="19"/>
        <v>216</v>
      </c>
      <c r="F114" s="11">
        <v>2</v>
      </c>
      <c r="G114" s="11">
        <f t="shared" si="20"/>
        <v>432</v>
      </c>
      <c r="H114" s="107"/>
      <c r="I114" s="107"/>
    </row>
    <row r="115" spans="2:9" x14ac:dyDescent="0.25">
      <c r="B115" s="105"/>
      <c r="C115" s="11">
        <v>6</v>
      </c>
      <c r="D115" s="11">
        <f t="shared" si="18"/>
        <v>7</v>
      </c>
      <c r="E115" s="11">
        <f t="shared" si="19"/>
        <v>343</v>
      </c>
      <c r="F115" s="11">
        <v>4</v>
      </c>
      <c r="G115" s="11">
        <f t="shared" si="20"/>
        <v>1372</v>
      </c>
      <c r="H115" s="107"/>
      <c r="I115" s="107"/>
    </row>
    <row r="116" spans="2:9" x14ac:dyDescent="0.25">
      <c r="B116" s="106"/>
      <c r="C116" s="11">
        <v>7</v>
      </c>
      <c r="D116" s="11">
        <f t="shared" si="18"/>
        <v>8</v>
      </c>
      <c r="E116" s="11">
        <f t="shared" si="19"/>
        <v>512</v>
      </c>
      <c r="F116" s="11">
        <v>1</v>
      </c>
      <c r="G116" s="11">
        <f>E116*F116</f>
        <v>512</v>
      </c>
      <c r="H116" s="107"/>
      <c r="I116" s="107"/>
    </row>
    <row r="117" spans="2:9" x14ac:dyDescent="0.25">
      <c r="H117" s="107" t="s">
        <v>84</v>
      </c>
      <c r="I117" s="107"/>
    </row>
    <row r="118" spans="2:9" x14ac:dyDescent="0.25">
      <c r="H118" s="112">
        <f>H108+H112</f>
        <v>1023.75</v>
      </c>
      <c r="I118" s="112"/>
    </row>
    <row r="120" spans="2:9" x14ac:dyDescent="0.25">
      <c r="C120" t="s">
        <v>88</v>
      </c>
    </row>
    <row r="121" spans="2:9" x14ac:dyDescent="0.25">
      <c r="D121" t="s">
        <v>89</v>
      </c>
    </row>
    <row r="122" spans="2:9" x14ac:dyDescent="0.25">
      <c r="D122" t="s">
        <v>90</v>
      </c>
    </row>
    <row r="123" spans="2:9" x14ac:dyDescent="0.25">
      <c r="D123" t="s">
        <v>91</v>
      </c>
    </row>
    <row r="124" spans="2:9" x14ac:dyDescent="0.25">
      <c r="C124" t="s">
        <v>92</v>
      </c>
    </row>
    <row r="125" spans="2:9" x14ac:dyDescent="0.25">
      <c r="D125" t="s">
        <v>93</v>
      </c>
    </row>
    <row r="126" spans="2:9" x14ac:dyDescent="0.25">
      <c r="D126" t="s">
        <v>100</v>
      </c>
    </row>
    <row r="134" spans="5:6" x14ac:dyDescent="0.25">
      <c r="E134" t="s">
        <v>96</v>
      </c>
    </row>
    <row r="135" spans="5:6" x14ac:dyDescent="0.25">
      <c r="F135" t="s">
        <v>97</v>
      </c>
    </row>
    <row r="143" spans="5:6" x14ac:dyDescent="0.25">
      <c r="F143" t="s">
        <v>98</v>
      </c>
    </row>
    <row r="144" spans="5:6" x14ac:dyDescent="0.25">
      <c r="F144" t="s">
        <v>99</v>
      </c>
    </row>
    <row r="146" spans="2:20" x14ac:dyDescent="0.25">
      <c r="B146" s="41" t="s">
        <v>45</v>
      </c>
      <c r="C146" s="40"/>
      <c r="D146" s="40"/>
      <c r="E146" s="40"/>
      <c r="F146" s="40"/>
      <c r="G146" s="40"/>
      <c r="H146" s="40"/>
      <c r="I146" s="40"/>
      <c r="J146" s="40"/>
      <c r="K146" s="40"/>
      <c r="L146" s="40"/>
      <c r="M146" s="40"/>
      <c r="N146" s="40"/>
      <c r="O146" s="40"/>
      <c r="P146" s="40"/>
      <c r="Q146" s="40"/>
      <c r="R146" s="40"/>
      <c r="S146" s="40"/>
      <c r="T146" s="40"/>
    </row>
    <row r="148" spans="2:20" x14ac:dyDescent="0.25">
      <c r="C148" t="s">
        <v>94</v>
      </c>
    </row>
    <row r="154" spans="2:20" x14ac:dyDescent="0.25">
      <c r="C154" t="s">
        <v>95</v>
      </c>
    </row>
    <row r="156" spans="2:20" x14ac:dyDescent="0.25">
      <c r="C156" t="s">
        <v>101</v>
      </c>
    </row>
    <row r="157" spans="2:20" x14ac:dyDescent="0.25">
      <c r="E157" t="s">
        <v>104</v>
      </c>
      <c r="I157">
        <f>1025.679375-1023.75</f>
        <v>1.9293749999999363</v>
      </c>
    </row>
    <row r="158" spans="2:20" x14ac:dyDescent="0.25">
      <c r="E158" t="s">
        <v>105</v>
      </c>
      <c r="I158">
        <f>I157/1023.75</f>
        <v>1.8846153846153225E-3</v>
      </c>
      <c r="J158" t="s">
        <v>110</v>
      </c>
    </row>
    <row r="159" spans="2:20" x14ac:dyDescent="0.25">
      <c r="E159" t="s">
        <v>106</v>
      </c>
    </row>
    <row r="160" spans="2:20" x14ac:dyDescent="0.25">
      <c r="E160" t="s">
        <v>107</v>
      </c>
    </row>
    <row r="161" spans="2:5" x14ac:dyDescent="0.25">
      <c r="C161" t="s">
        <v>102</v>
      </c>
    </row>
    <row r="162" spans="2:5" x14ac:dyDescent="0.25">
      <c r="E162" t="s">
        <v>108</v>
      </c>
    </row>
    <row r="163" spans="2:5" x14ac:dyDescent="0.25">
      <c r="E163" t="s">
        <v>109</v>
      </c>
    </row>
    <row r="164" spans="2:5" x14ac:dyDescent="0.25">
      <c r="C164" t="s">
        <v>103</v>
      </c>
    </row>
    <row r="165" spans="2:5" x14ac:dyDescent="0.25">
      <c r="E165" t="s">
        <v>111</v>
      </c>
    </row>
    <row r="168" spans="2:5" x14ac:dyDescent="0.25">
      <c r="B168" t="s">
        <v>126</v>
      </c>
    </row>
    <row r="169" spans="2:5" x14ac:dyDescent="0.25">
      <c r="C169" t="s">
        <v>127</v>
      </c>
    </row>
    <row r="170" spans="2:5" x14ac:dyDescent="0.25">
      <c r="C170" t="s">
        <v>128</v>
      </c>
    </row>
    <row r="171" spans="2:5" x14ac:dyDescent="0.25">
      <c r="C171" s="30" t="s">
        <v>129</v>
      </c>
    </row>
    <row r="172" spans="2:5" x14ac:dyDescent="0.25">
      <c r="C172" s="30" t="s">
        <v>130</v>
      </c>
    </row>
  </sheetData>
  <mergeCells count="34">
    <mergeCell ref="H118:I118"/>
    <mergeCell ref="H117:I117"/>
    <mergeCell ref="H104:I104"/>
    <mergeCell ref="H107:I107"/>
    <mergeCell ref="H116:I116"/>
    <mergeCell ref="H115:I115"/>
    <mergeCell ref="H114:I114"/>
    <mergeCell ref="H113:I113"/>
    <mergeCell ref="H112:I112"/>
    <mergeCell ref="H111:I111"/>
    <mergeCell ref="H110:I110"/>
    <mergeCell ref="H109:I109"/>
    <mergeCell ref="H105:I105"/>
    <mergeCell ref="H98:I98"/>
    <mergeCell ref="H97:I97"/>
    <mergeCell ref="H96:I96"/>
    <mergeCell ref="H95:I95"/>
    <mergeCell ref="H108:I108"/>
    <mergeCell ref="Q54:S54"/>
    <mergeCell ref="B95:B99"/>
    <mergeCell ref="B100:B103"/>
    <mergeCell ref="B108:B111"/>
    <mergeCell ref="B112:B116"/>
    <mergeCell ref="H94:I94"/>
    <mergeCell ref="H103:I103"/>
    <mergeCell ref="H102:I102"/>
    <mergeCell ref="H101:I101"/>
    <mergeCell ref="H100:I100"/>
    <mergeCell ref="E76:I76"/>
    <mergeCell ref="E54:G54"/>
    <mergeCell ref="H54:J54"/>
    <mergeCell ref="K54:M54"/>
    <mergeCell ref="N54:P54"/>
    <mergeCell ref="H99:I99"/>
  </mergeCells>
  <phoneticPr fontId="14"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4C881-1F96-4DF5-A2AA-417984E30580}">
  <sheetPr codeName="Sheet4"/>
  <dimension ref="A1:R137"/>
  <sheetViews>
    <sheetView zoomScaleNormal="100" workbookViewId="0">
      <selection activeCell="O12" sqref="O12"/>
    </sheetView>
  </sheetViews>
  <sheetFormatPr defaultRowHeight="15" x14ac:dyDescent="0.25"/>
  <cols>
    <col min="1" max="1" width="11.28515625" customWidth="1"/>
    <col min="2" max="2" width="12.7109375" customWidth="1"/>
    <col min="4" max="4" width="14.42578125" customWidth="1"/>
    <col min="5" max="5" width="12.42578125" customWidth="1"/>
    <col min="6" max="6" width="12.28515625" bestFit="1" customWidth="1"/>
    <col min="7" max="8" width="15" customWidth="1"/>
    <col min="9" max="9" width="18.42578125" customWidth="1"/>
    <col min="10" max="10" width="20" customWidth="1"/>
    <col min="11" max="11" width="15" customWidth="1"/>
    <col min="12" max="18" width="19.7109375" customWidth="1"/>
  </cols>
  <sheetData>
    <row r="1" spans="1:13" ht="18.75" x14ac:dyDescent="0.3">
      <c r="A1" s="48" t="s">
        <v>32</v>
      </c>
    </row>
    <row r="2" spans="1:13" x14ac:dyDescent="0.25">
      <c r="B2" t="s">
        <v>33</v>
      </c>
    </row>
    <row r="3" spans="1:13" x14ac:dyDescent="0.25">
      <c r="C3" s="23" t="s">
        <v>27</v>
      </c>
      <c r="D3" s="23" t="s">
        <v>28</v>
      </c>
      <c r="F3" s="30"/>
    </row>
    <row r="4" spans="1:13" x14ac:dyDescent="0.25">
      <c r="C4" s="9">
        <v>1900</v>
      </c>
      <c r="D4" s="44">
        <v>196000</v>
      </c>
      <c r="F4" s="30"/>
    </row>
    <row r="5" spans="1:13" x14ac:dyDescent="0.25">
      <c r="C5" s="9">
        <v>1910</v>
      </c>
      <c r="D5" s="44">
        <v>329000</v>
      </c>
      <c r="F5" s="30"/>
    </row>
    <row r="6" spans="1:13" x14ac:dyDescent="0.25">
      <c r="C6" s="9">
        <v>1920</v>
      </c>
      <c r="D6" s="44">
        <v>363000</v>
      </c>
      <c r="F6" s="30"/>
    </row>
    <row r="7" spans="1:13" x14ac:dyDescent="0.25">
      <c r="C7" s="9">
        <v>1930</v>
      </c>
      <c r="D7" s="44">
        <v>427000</v>
      </c>
    </row>
    <row r="8" spans="1:13" x14ac:dyDescent="0.25">
      <c r="C8" s="9">
        <v>1940</v>
      </c>
      <c r="D8" s="44">
        <v>531000</v>
      </c>
      <c r="M8" s="121">
        <f>((_xlfn.SEC(PI()/4)*((TAN(PI()/4))^4)+(18*((_xlfn.SEC(PI()/4))^3)*((TAN(PI()/4))^2))+(5*(_xlfn.SEC(PI()/4))^5))/(24*256)*(PI()^4))</f>
        <v>1.2780214331717337</v>
      </c>
    </row>
    <row r="9" spans="1:13" x14ac:dyDescent="0.25">
      <c r="C9" s="9">
        <v>1950</v>
      </c>
      <c r="D9" s="44">
        <v>689000</v>
      </c>
    </row>
    <row r="10" spans="1:13" x14ac:dyDescent="0.25">
      <c r="C10" s="9">
        <v>1960</v>
      </c>
      <c r="D10" s="44">
        <v>954000</v>
      </c>
    </row>
    <row r="11" spans="1:13" x14ac:dyDescent="0.25">
      <c r="C11" s="9">
        <v>1970</v>
      </c>
      <c r="D11" s="44">
        <v>1017055</v>
      </c>
    </row>
    <row r="12" spans="1:13" x14ac:dyDescent="0.25">
      <c r="C12" s="9">
        <v>1980</v>
      </c>
      <c r="D12" s="44">
        <v>1309400</v>
      </c>
    </row>
    <row r="13" spans="1:13" x14ac:dyDescent="0.25">
      <c r="C13" s="9">
        <v>1990</v>
      </c>
      <c r="D13" s="44">
        <v>1519933</v>
      </c>
    </row>
    <row r="14" spans="1:13" x14ac:dyDescent="0.25">
      <c r="C14" s="9">
        <v>2000</v>
      </c>
      <c r="D14" s="44">
        <v>1821204</v>
      </c>
    </row>
    <row r="15" spans="1:13" x14ac:dyDescent="0.25">
      <c r="C15" s="9">
        <v>2010</v>
      </c>
      <c r="D15" s="44">
        <v>2064588</v>
      </c>
    </row>
    <row r="16" spans="1:13" x14ac:dyDescent="0.25">
      <c r="A16" t="s">
        <v>10</v>
      </c>
    </row>
    <row r="17" spans="2:14" x14ac:dyDescent="0.25">
      <c r="B17" s="41" t="s">
        <v>36</v>
      </c>
      <c r="C17" s="40"/>
      <c r="D17" s="40"/>
      <c r="E17" s="40"/>
      <c r="F17" s="40"/>
      <c r="G17" s="40"/>
      <c r="H17" s="40"/>
      <c r="I17" s="40"/>
      <c r="J17" s="40"/>
      <c r="K17" s="40"/>
      <c r="L17" s="40"/>
      <c r="M17" s="40"/>
      <c r="N17" s="40"/>
    </row>
    <row r="18" spans="2:14" x14ac:dyDescent="0.25">
      <c r="B18" s="23" t="s">
        <v>35</v>
      </c>
      <c r="C18" s="23" t="s">
        <v>27</v>
      </c>
      <c r="D18" s="23" t="s">
        <v>28</v>
      </c>
      <c r="F18" t="s">
        <v>47</v>
      </c>
    </row>
    <row r="19" spans="2:14" x14ac:dyDescent="0.25">
      <c r="B19">
        <v>1</v>
      </c>
      <c r="C19" s="9">
        <v>1900</v>
      </c>
      <c r="D19" s="44">
        <v>196000</v>
      </c>
    </row>
    <row r="20" spans="2:14" x14ac:dyDescent="0.25">
      <c r="B20">
        <v>2</v>
      </c>
      <c r="C20" s="9">
        <v>1910</v>
      </c>
      <c r="D20" s="44">
        <v>329000</v>
      </c>
    </row>
    <row r="21" spans="2:14" x14ac:dyDescent="0.25">
      <c r="B21">
        <v>3</v>
      </c>
      <c r="C21" s="9">
        <v>1920</v>
      </c>
      <c r="D21" s="44">
        <v>363000</v>
      </c>
    </row>
    <row r="22" spans="2:14" x14ac:dyDescent="0.25">
      <c r="B22">
        <v>4</v>
      </c>
      <c r="C22" s="9">
        <v>1930</v>
      </c>
      <c r="D22" s="44">
        <v>427000</v>
      </c>
    </row>
    <row r="23" spans="2:14" x14ac:dyDescent="0.25">
      <c r="B23">
        <v>5</v>
      </c>
      <c r="C23" s="9">
        <v>1940</v>
      </c>
      <c r="D23" s="44">
        <v>531000</v>
      </c>
    </row>
    <row r="24" spans="2:14" x14ac:dyDescent="0.25">
      <c r="B24">
        <v>6</v>
      </c>
      <c r="C24" s="9">
        <v>1950</v>
      </c>
      <c r="D24" s="44">
        <v>689000</v>
      </c>
    </row>
    <row r="25" spans="2:14" x14ac:dyDescent="0.25">
      <c r="B25">
        <v>7</v>
      </c>
      <c r="C25" s="9">
        <v>1960</v>
      </c>
      <c r="D25" s="44">
        <v>954000</v>
      </c>
    </row>
    <row r="26" spans="2:14" x14ac:dyDescent="0.25">
      <c r="B26">
        <v>8</v>
      </c>
      <c r="C26" s="9">
        <v>1970</v>
      </c>
      <c r="D26" s="44">
        <v>1017055</v>
      </c>
    </row>
    <row r="27" spans="2:14" x14ac:dyDescent="0.25">
      <c r="B27">
        <v>9</v>
      </c>
      <c r="C27" s="9">
        <v>1980</v>
      </c>
      <c r="D27" s="44">
        <v>1309400</v>
      </c>
    </row>
    <row r="28" spans="2:14" x14ac:dyDescent="0.25">
      <c r="B28">
        <v>10</v>
      </c>
      <c r="C28" s="9">
        <v>1990</v>
      </c>
      <c r="D28" s="44">
        <v>1519933</v>
      </c>
    </row>
    <row r="29" spans="2:14" x14ac:dyDescent="0.25">
      <c r="B29">
        <v>11</v>
      </c>
      <c r="C29" s="9">
        <v>2000</v>
      </c>
      <c r="D29" s="44">
        <v>1821204</v>
      </c>
    </row>
    <row r="30" spans="2:14" x14ac:dyDescent="0.25">
      <c r="B30">
        <v>12</v>
      </c>
      <c r="C30" s="9">
        <v>2010</v>
      </c>
      <c r="D30" s="44">
        <v>2064588</v>
      </c>
    </row>
    <row r="31" spans="2:14" hidden="1" x14ac:dyDescent="0.25"/>
    <row r="32" spans="2:1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spans="1:18" hidden="1" x14ac:dyDescent="0.25"/>
    <row r="50" spans="1:18" hidden="1" x14ac:dyDescent="0.25"/>
    <row r="51" spans="1:18" hidden="1" x14ac:dyDescent="0.25"/>
    <row r="52" spans="1:18" ht="34.5" hidden="1" customHeight="1" x14ac:dyDescent="0.25"/>
    <row r="53" spans="1:18" hidden="1" x14ac:dyDescent="0.25"/>
    <row r="54" spans="1:18" ht="54" customHeight="1" x14ac:dyDescent="0.25"/>
    <row r="55" spans="1:18" x14ac:dyDescent="0.25">
      <c r="A55" t="s">
        <v>24</v>
      </c>
    </row>
    <row r="56" spans="1:18" ht="15.75" thickBot="1" x14ac:dyDescent="0.3">
      <c r="A56" s="13" t="s">
        <v>13</v>
      </c>
      <c r="B56" s="13" t="s">
        <v>14</v>
      </c>
      <c r="C56" s="13" t="s">
        <v>16</v>
      </c>
      <c r="D56" s="15" t="s">
        <v>18</v>
      </c>
      <c r="E56" s="15" t="s">
        <v>20</v>
      </c>
      <c r="F56" s="15" t="s">
        <v>19</v>
      </c>
      <c r="G56" s="15" t="s">
        <v>17</v>
      </c>
      <c r="H56" s="15" t="s">
        <v>15</v>
      </c>
      <c r="I56" s="15" t="s">
        <v>21</v>
      </c>
      <c r="J56" s="15" t="s">
        <v>22</v>
      </c>
      <c r="K56" s="13" t="s">
        <v>23</v>
      </c>
      <c r="L56" s="13"/>
      <c r="M56" s="13"/>
      <c r="N56" s="13"/>
      <c r="O56" s="13"/>
      <c r="P56" s="13"/>
      <c r="Q56" s="13"/>
      <c r="R56" s="13"/>
    </row>
    <row r="57" spans="1:18" ht="15.75" thickTop="1" x14ac:dyDescent="0.25">
      <c r="A57" s="14">
        <v>1900</v>
      </c>
      <c r="B57" s="14">
        <v>196000</v>
      </c>
      <c r="C57" s="14">
        <f>A57</f>
        <v>1900</v>
      </c>
      <c r="D57" s="24">
        <f>B57</f>
        <v>196000</v>
      </c>
      <c r="E57" s="17">
        <f>A57*A57</f>
        <v>3610000</v>
      </c>
      <c r="F57" s="17">
        <f>A57*B57</f>
        <v>372400000</v>
      </c>
      <c r="G57" s="17">
        <f>LN(A57)</f>
        <v>7.5496091651545321</v>
      </c>
      <c r="H57" s="17">
        <f>LN(B57)</f>
        <v>12.185869938212655</v>
      </c>
      <c r="I57" s="18">
        <f>G57*H57</f>
        <v>91.998555370911347</v>
      </c>
      <c r="J57" s="18">
        <f>G57*G57</f>
        <v>56.996598546585311</v>
      </c>
      <c r="K57" s="33">
        <f>A57*H57</f>
        <v>23153.152882604045</v>
      </c>
      <c r="L57" s="33">
        <f>B57-($J$72*A57+$J$73)</f>
        <v>188170.89743590355</v>
      </c>
      <c r="M57" s="33">
        <f>L57^2</f>
        <v>35408286641.833336</v>
      </c>
      <c r="N57" s="33">
        <f>B57-($K$75*(A57^$J$74))</f>
        <v>-38260.064172813698</v>
      </c>
      <c r="O57" s="33">
        <f>N57^2</f>
        <v>1463832510.5078223</v>
      </c>
      <c r="P57" s="33">
        <f>B57-($K$77*EXP($J$76*A57))</f>
        <v>-40712.272721523157</v>
      </c>
      <c r="Q57" s="33">
        <f>P57^2</f>
        <v>1657489150.1516786</v>
      </c>
      <c r="R57" s="33">
        <f>(B57-$J$79)^2</f>
        <v>546266346336.11115</v>
      </c>
    </row>
    <row r="58" spans="1:18" x14ac:dyDescent="0.25">
      <c r="A58" s="14">
        <v>1910</v>
      </c>
      <c r="B58" s="14">
        <v>329000</v>
      </c>
      <c r="C58" s="14">
        <f t="shared" ref="C58:D62" si="0">A58</f>
        <v>1910</v>
      </c>
      <c r="D58" s="24">
        <f t="shared" si="0"/>
        <v>329000</v>
      </c>
      <c r="E58" s="17">
        <f t="shared" ref="E58:E62" si="1">A58*A58</f>
        <v>3648100</v>
      </c>
      <c r="F58" s="17">
        <f t="shared" ref="F58:F62" si="2">A58*B58</f>
        <v>628390000</v>
      </c>
      <c r="G58" s="17">
        <f t="shared" ref="G58:H62" si="3">LN(A58)</f>
        <v>7.5548585210406758</v>
      </c>
      <c r="H58" s="17">
        <f t="shared" si="3"/>
        <v>12.70381302974751</v>
      </c>
      <c r="I58" s="18">
        <f t="shared" ref="I58:I62" si="4">G58*H58</f>
        <v>95.975510117495531</v>
      </c>
      <c r="J58" s="18">
        <f t="shared" ref="J58:J62" si="5">G58*G58</f>
        <v>57.075887272940911</v>
      </c>
      <c r="K58" s="33">
        <f t="shared" ref="K58:K62" si="6">A58*H58</f>
        <v>24264.282886817742</v>
      </c>
      <c r="L58" s="33">
        <f t="shared" ref="L58:L62" si="7">B58-($J$72*A58+$J$73)</f>
        <v>152576.49184149504</v>
      </c>
      <c r="M58" s="33">
        <f t="shared" ref="M58:M62" si="8">L58^2</f>
        <v>23279585862.657803</v>
      </c>
      <c r="N58" s="33">
        <f t="shared" ref="N58:N62" si="9">B58-($K$75*(A58^$J$74))</f>
        <v>39271.729117975105</v>
      </c>
      <c r="O58" s="33">
        <f t="shared" ref="O58:O62" si="10">N58^2</f>
        <v>1542268707.9156137</v>
      </c>
      <c r="P58" s="33">
        <f t="shared" ref="P58:P62" si="11">B58-($K$77*EXP($J$76*A58))</f>
        <v>37847.001187723014</v>
      </c>
      <c r="Q58" s="33">
        <f t="shared" ref="Q58:Q62" si="12">P58^2</f>
        <v>1432395498.9035072</v>
      </c>
      <c r="R58" s="33">
        <f t="shared" ref="R58:R62" si="13">(B58-$J$79)^2</f>
        <v>367355189669.44452</v>
      </c>
    </row>
    <row r="59" spans="1:18" x14ac:dyDescent="0.25">
      <c r="A59" s="14">
        <v>1920</v>
      </c>
      <c r="B59" s="14">
        <v>363000</v>
      </c>
      <c r="C59" s="14">
        <f t="shared" si="0"/>
        <v>1920</v>
      </c>
      <c r="D59" s="24">
        <f t="shared" si="0"/>
        <v>363000</v>
      </c>
      <c r="E59" s="17">
        <f t="shared" si="1"/>
        <v>3686400</v>
      </c>
      <c r="F59" s="17">
        <f t="shared" si="2"/>
        <v>696960000</v>
      </c>
      <c r="G59" s="17">
        <f t="shared" si="3"/>
        <v>7.5600804650218274</v>
      </c>
      <c r="H59" s="17">
        <f t="shared" si="3"/>
        <v>12.802158113246987</v>
      </c>
      <c r="I59" s="18">
        <f t="shared" si="4"/>
        <v>96.785345462079249</v>
      </c>
      <c r="J59" s="18">
        <f t="shared" si="5"/>
        <v>57.154816637604647</v>
      </c>
      <c r="K59" s="33">
        <f t="shared" si="6"/>
        <v>24580.143577434217</v>
      </c>
      <c r="L59" s="33">
        <f>B59-($J$72*A59+$J$73)</f>
        <v>17982.08624709025</v>
      </c>
      <c r="M59" s="33">
        <f t="shared" si="8"/>
        <v>323355425.79779232</v>
      </c>
      <c r="N59" s="33">
        <f t="shared" si="9"/>
        <v>5067.1626154158148</v>
      </c>
      <c r="O59" s="33">
        <f t="shared" si="10"/>
        <v>25676136.971067641</v>
      </c>
      <c r="P59" s="33">
        <f t="shared" si="11"/>
        <v>4885.6202816786827</v>
      </c>
      <c r="Q59" s="33">
        <f t="shared" si="12"/>
        <v>23869285.536750089</v>
      </c>
      <c r="R59" s="33">
        <f t="shared" si="13"/>
        <v>327296503002.77783</v>
      </c>
    </row>
    <row r="60" spans="1:18" x14ac:dyDescent="0.25">
      <c r="A60" s="14">
        <v>1930</v>
      </c>
      <c r="B60" s="14">
        <v>427000</v>
      </c>
      <c r="C60" s="14">
        <f t="shared" si="0"/>
        <v>1930</v>
      </c>
      <c r="D60" s="24">
        <f t="shared" si="0"/>
        <v>427000</v>
      </c>
      <c r="E60" s="17">
        <f t="shared" si="1"/>
        <v>3724900</v>
      </c>
      <c r="F60" s="17">
        <f t="shared" si="2"/>
        <v>824110000</v>
      </c>
      <c r="G60" s="17">
        <f t="shared" si="3"/>
        <v>7.5652752818989315</v>
      </c>
      <c r="H60" s="17">
        <f t="shared" si="3"/>
        <v>12.964539292210761</v>
      </c>
      <c r="I60" s="18">
        <f t="shared" si="4"/>
        <v>98.080308648569542</v>
      </c>
      <c r="J60" s="18">
        <f t="shared" si="5"/>
        <v>57.233390090910959</v>
      </c>
      <c r="K60" s="33">
        <f t="shared" si="6"/>
        <v>25021.560833966767</v>
      </c>
      <c r="L60" s="33">
        <f t="shared" si="7"/>
        <v>-86612.319347314537</v>
      </c>
      <c r="M60" s="33">
        <f t="shared" si="8"/>
        <v>7501693862.7211962</v>
      </c>
      <c r="N60" s="33">
        <f t="shared" si="9"/>
        <v>-14708.006136844982</v>
      </c>
      <c r="O60" s="33">
        <f t="shared" si="10"/>
        <v>216325444.52146965</v>
      </c>
      <c r="P60" s="33">
        <f t="shared" si="11"/>
        <v>-13476.002253799874</v>
      </c>
      <c r="Q60" s="33">
        <f t="shared" si="12"/>
        <v>181602636.74441928</v>
      </c>
      <c r="R60" s="33">
        <f t="shared" si="13"/>
        <v>258163916336.11115</v>
      </c>
    </row>
    <row r="61" spans="1:18" x14ac:dyDescent="0.25">
      <c r="A61" s="14">
        <v>1940</v>
      </c>
      <c r="B61" s="14">
        <v>531000</v>
      </c>
      <c r="C61" s="14">
        <f t="shared" si="0"/>
        <v>1940</v>
      </c>
      <c r="D61" s="24">
        <f t="shared" si="0"/>
        <v>531000</v>
      </c>
      <c r="E61" s="17">
        <f t="shared" si="1"/>
        <v>3763600</v>
      </c>
      <c r="F61" s="17">
        <f t="shared" si="2"/>
        <v>1030140000</v>
      </c>
      <c r="G61" s="17">
        <f t="shared" si="3"/>
        <v>7.5704432520573741</v>
      </c>
      <c r="H61" s="17">
        <f t="shared" si="3"/>
        <v>13.182517300224076</v>
      </c>
      <c r="I61" s="18">
        <f t="shared" si="4"/>
        <v>99.797499140610952</v>
      </c>
      <c r="J61" s="18">
        <f t="shared" si="5"/>
        <v>57.31161103262103</v>
      </c>
      <c r="K61" s="33">
        <f t="shared" si="6"/>
        <v>25574.083562434706</v>
      </c>
      <c r="L61" s="33">
        <f t="shared" si="7"/>
        <v>-151206.72494171932</v>
      </c>
      <c r="M61" s="33">
        <f t="shared" si="8"/>
        <v>22863473667.600765</v>
      </c>
      <c r="N61" s="33">
        <f t="shared" si="9"/>
        <v>-13498.876515851705</v>
      </c>
      <c r="O61" s="33">
        <f t="shared" si="10"/>
        <v>182219667.19021267</v>
      </c>
      <c r="P61" s="33">
        <f t="shared" si="11"/>
        <v>-10779.720529789105</v>
      </c>
      <c r="Q61" s="33">
        <f t="shared" si="12"/>
        <v>116202374.70035671</v>
      </c>
      <c r="R61" s="33">
        <f t="shared" si="13"/>
        <v>163295463002.7778</v>
      </c>
    </row>
    <row r="62" spans="1:18" x14ac:dyDescent="0.25">
      <c r="A62" s="14">
        <v>1950</v>
      </c>
      <c r="B62" s="14">
        <v>689000</v>
      </c>
      <c r="C62" s="14">
        <f t="shared" si="0"/>
        <v>1950</v>
      </c>
      <c r="D62" s="24">
        <f t="shared" si="0"/>
        <v>689000</v>
      </c>
      <c r="E62" s="17">
        <f t="shared" si="1"/>
        <v>3802500</v>
      </c>
      <c r="F62" s="17">
        <f t="shared" si="2"/>
        <v>1343550000</v>
      </c>
      <c r="G62" s="17">
        <f t="shared" si="3"/>
        <v>7.5755846515577927</v>
      </c>
      <c r="H62" s="17">
        <f t="shared" si="3"/>
        <v>13.442996549995796</v>
      </c>
      <c r="I62" s="18">
        <f t="shared" si="4"/>
        <v>101.83855833509251</v>
      </c>
      <c r="J62" s="18">
        <f t="shared" si="5"/>
        <v>57.389482812918004</v>
      </c>
      <c r="K62" s="33">
        <f t="shared" si="6"/>
        <v>26213.843272491802</v>
      </c>
      <c r="L62" s="33">
        <f t="shared" si="7"/>
        <v>-161801.13053612784</v>
      </c>
      <c r="M62" s="33">
        <f t="shared" si="8"/>
        <v>26179605842.769081</v>
      </c>
      <c r="N62" s="33">
        <f t="shared" si="9"/>
        <v>18511.169450048474</v>
      </c>
      <c r="O62" s="33">
        <f t="shared" si="10"/>
        <v>342663394.40840793</v>
      </c>
      <c r="P62" s="33">
        <f t="shared" si="11"/>
        <v>22618.03123111662</v>
      </c>
      <c r="Q62" s="33">
        <f t="shared" si="12"/>
        <v>511575336.77176678</v>
      </c>
      <c r="R62" s="33">
        <f t="shared" si="13"/>
        <v>60564389669.444466</v>
      </c>
    </row>
    <row r="63" spans="1:18" x14ac:dyDescent="0.25">
      <c r="A63" s="14">
        <v>1960</v>
      </c>
      <c r="B63" s="14">
        <v>954000</v>
      </c>
      <c r="C63" s="14">
        <f t="shared" ref="C63:C68" si="14">A63</f>
        <v>1960</v>
      </c>
      <c r="D63" s="24">
        <f t="shared" ref="D63:D68" si="15">B63</f>
        <v>954000</v>
      </c>
      <c r="E63" s="17">
        <f t="shared" ref="E63:E68" si="16">A63*A63</f>
        <v>3841600</v>
      </c>
      <c r="F63" s="17">
        <f t="shared" ref="F63:F68" si="17">A63*B63</f>
        <v>1869840000</v>
      </c>
      <c r="G63" s="17">
        <f t="shared" ref="G63:G68" si="18">LN(A63)</f>
        <v>7.5806997522245627</v>
      </c>
      <c r="H63" s="17">
        <f t="shared" ref="H63:H68" si="19">LN(B63)</f>
        <v>13.768418950430423</v>
      </c>
      <c r="I63" s="18">
        <f t="shared" ref="I63:I68" si="20">G63*H63</f>
        <v>104.37425012605188</v>
      </c>
      <c r="J63" s="18">
        <f t="shared" ref="J63:J68" si="21">G63*G63</f>
        <v>57.467008733377547</v>
      </c>
      <c r="K63" s="33">
        <f t="shared" ref="K63:K68" si="22">A63*H63</f>
        <v>26986.101142843629</v>
      </c>
      <c r="L63" s="33">
        <f t="shared" ref="L63:L68" si="23">B63-($J$72*A63+$J$73)</f>
        <v>-65395.536130532622</v>
      </c>
      <c r="M63" s="33">
        <f t="shared" ref="M63:M68" si="24">L63^2</f>
        <v>4276576145.7997975</v>
      </c>
      <c r="N63" s="33">
        <f t="shared" ref="N63:N68" si="25">B63-($K$75*(A63^$J$74))</f>
        <v>129247.33284194733</v>
      </c>
      <c r="O63" s="33">
        <f t="shared" ref="O63:O68" si="26">N63^2</f>
        <v>16704873046.757116</v>
      </c>
      <c r="P63" s="33">
        <f t="shared" ref="P63:P68" si="27">B63-($K$77*EXP($J$76*A63))</f>
        <v>134358.89592534164</v>
      </c>
      <c r="Q63" s="33">
        <f t="shared" ref="Q63:Q68" si="28">P63^2</f>
        <v>18052312914.276787</v>
      </c>
      <c r="R63" s="33">
        <f t="shared" ref="R63:R68" si="29">(B63-$J$79)^2</f>
        <v>357273002.7777763</v>
      </c>
    </row>
    <row r="64" spans="1:18" x14ac:dyDescent="0.25">
      <c r="A64" s="14">
        <v>1970</v>
      </c>
      <c r="B64" s="14">
        <v>1017055</v>
      </c>
      <c r="C64" s="14">
        <f t="shared" si="14"/>
        <v>1970</v>
      </c>
      <c r="D64" s="24">
        <f t="shared" si="15"/>
        <v>1017055</v>
      </c>
      <c r="E64" s="17">
        <f t="shared" si="16"/>
        <v>3880900</v>
      </c>
      <c r="F64" s="17">
        <f t="shared" si="17"/>
        <v>2003598350</v>
      </c>
      <c r="G64" s="17">
        <f t="shared" si="18"/>
        <v>7.5857888217320344</v>
      </c>
      <c r="H64" s="17">
        <f t="shared" si="19"/>
        <v>13.832421754197695</v>
      </c>
      <c r="I64" s="18">
        <f t="shared" si="20"/>
        <v>104.92983032047589</v>
      </c>
      <c r="J64" s="18">
        <f t="shared" si="21"/>
        <v>57.544192047914684</v>
      </c>
      <c r="K64" s="33">
        <f t="shared" si="22"/>
        <v>27249.870855769459</v>
      </c>
      <c r="L64" s="33">
        <f t="shared" si="23"/>
        <v>-170934.94172493741</v>
      </c>
      <c r="M64" s="33">
        <f t="shared" si="24"/>
        <v>29218754302.507748</v>
      </c>
      <c r="N64" s="33">
        <f t="shared" si="25"/>
        <v>3614.5424583720742</v>
      </c>
      <c r="O64" s="33">
        <f t="shared" si="26"/>
        <v>13064917.183374438</v>
      </c>
      <c r="P64" s="33">
        <f t="shared" si="27"/>
        <v>8907.1644127500476</v>
      </c>
      <c r="Q64" s="33">
        <f t="shared" si="28"/>
        <v>79337577.875760898</v>
      </c>
      <c r="R64" s="33">
        <f t="shared" si="29"/>
        <v>6716895211.111105</v>
      </c>
    </row>
    <row r="65" spans="1:18" x14ac:dyDescent="0.25">
      <c r="A65" s="14">
        <v>1980</v>
      </c>
      <c r="B65" s="14">
        <v>1309400</v>
      </c>
      <c r="C65" s="14">
        <f t="shared" si="14"/>
        <v>1980</v>
      </c>
      <c r="D65" s="24">
        <f t="shared" si="15"/>
        <v>1309400</v>
      </c>
      <c r="E65" s="17">
        <f t="shared" si="16"/>
        <v>3920400</v>
      </c>
      <c r="F65" s="17">
        <f t="shared" si="17"/>
        <v>2592612000</v>
      </c>
      <c r="G65" s="17">
        <f t="shared" si="18"/>
        <v>7.5908521236885811</v>
      </c>
      <c r="H65" s="17">
        <f t="shared" si="19"/>
        <v>14.085079574989129</v>
      </c>
      <c r="I65" s="18">
        <f t="shared" si="20"/>
        <v>106.91775620412888</v>
      </c>
      <c r="J65" s="18">
        <f t="shared" si="21"/>
        <v>57.621035963707442</v>
      </c>
      <c r="K65" s="33">
        <f t="shared" si="22"/>
        <v>27888.457558478476</v>
      </c>
      <c r="L65" s="33">
        <f t="shared" si="23"/>
        <v>-47184.347319342196</v>
      </c>
      <c r="M65" s="33">
        <f t="shared" si="24"/>
        <v>2226362631.9523149</v>
      </c>
      <c r="N65" s="33">
        <f t="shared" si="25"/>
        <v>65401.92183626839</v>
      </c>
      <c r="O65" s="33">
        <f t="shared" si="26"/>
        <v>4277411379.8773599</v>
      </c>
      <c r="P65" s="33">
        <f t="shared" si="27"/>
        <v>69391.350669637555</v>
      </c>
      <c r="Q65" s="33">
        <f t="shared" si="28"/>
        <v>4815159547.756608</v>
      </c>
      <c r="R65" s="33">
        <f t="shared" si="29"/>
        <v>140101737669.44443</v>
      </c>
    </row>
    <row r="66" spans="1:18" x14ac:dyDescent="0.25">
      <c r="A66" s="14">
        <v>1990</v>
      </c>
      <c r="B66" s="14">
        <v>1519933</v>
      </c>
      <c r="C66" s="14">
        <f t="shared" si="14"/>
        <v>1990</v>
      </c>
      <c r="D66" s="24">
        <f t="shared" si="15"/>
        <v>1519933</v>
      </c>
      <c r="E66" s="17">
        <f t="shared" si="16"/>
        <v>3960100</v>
      </c>
      <c r="F66" s="17">
        <f t="shared" si="17"/>
        <v>3024666670</v>
      </c>
      <c r="G66" s="17">
        <f t="shared" si="18"/>
        <v>7.5958899177185382</v>
      </c>
      <c r="H66" s="17">
        <f t="shared" si="19"/>
        <v>14.234176812903586</v>
      </c>
      <c r="I66" s="18">
        <f t="shared" si="20"/>
        <v>108.12124014015734</v>
      </c>
      <c r="J66" s="18">
        <f t="shared" si="21"/>
        <v>57.69754364209814</v>
      </c>
      <c r="K66" s="33">
        <f t="shared" si="22"/>
        <v>28326.011857678135</v>
      </c>
      <c r="L66" s="33">
        <f t="shared" si="23"/>
        <v>-5245.7529137469828</v>
      </c>
      <c r="M66" s="33">
        <f t="shared" si="24"/>
        <v>27517923.632084958</v>
      </c>
      <c r="N66" s="33">
        <f t="shared" si="25"/>
        <v>-5498.4929829726461</v>
      </c>
      <c r="O66" s="33">
        <f t="shared" si="26"/>
        <v>30233425.083799429</v>
      </c>
      <c r="P66" s="33">
        <f t="shared" si="27"/>
        <v>-5261.417065259302</v>
      </c>
      <c r="Q66" s="33">
        <f t="shared" si="28"/>
        <v>27682509.534601808</v>
      </c>
      <c r="R66" s="33">
        <f t="shared" si="29"/>
        <v>342031587335.11108</v>
      </c>
    </row>
    <row r="67" spans="1:18" x14ac:dyDescent="0.25">
      <c r="A67" s="14">
        <v>2000</v>
      </c>
      <c r="B67" s="14">
        <v>1821204</v>
      </c>
      <c r="C67" s="14">
        <f t="shared" si="14"/>
        <v>2000</v>
      </c>
      <c r="D67" s="24">
        <f t="shared" si="15"/>
        <v>1821204</v>
      </c>
      <c r="E67" s="17">
        <f t="shared" si="16"/>
        <v>4000000</v>
      </c>
      <c r="F67" s="17">
        <f t="shared" si="17"/>
        <v>3642408000</v>
      </c>
      <c r="G67" s="17">
        <f t="shared" si="18"/>
        <v>7.6009024595420822</v>
      </c>
      <c r="H67" s="17">
        <f t="shared" si="19"/>
        <v>14.415008378794404</v>
      </c>
      <c r="I67" s="18">
        <f t="shared" si="20"/>
        <v>109.56707264069811</v>
      </c>
      <c r="J67" s="18">
        <f t="shared" si="21"/>
        <v>57.773718199472874</v>
      </c>
      <c r="K67" s="33">
        <f t="shared" si="22"/>
        <v>28830.016757588808</v>
      </c>
      <c r="L67" s="33">
        <f t="shared" si="23"/>
        <v>127430.84149184823</v>
      </c>
      <c r="M67" s="33">
        <f t="shared" si="24"/>
        <v>16238619363.320549</v>
      </c>
      <c r="N67" s="33">
        <f t="shared" si="25"/>
        <v>-47419.173311641905</v>
      </c>
      <c r="O67" s="33">
        <f t="shared" si="26"/>
        <v>2248577997.5595322</v>
      </c>
      <c r="P67" s="33">
        <f t="shared" si="27"/>
        <v>-54765.180620854953</v>
      </c>
      <c r="Q67" s="33">
        <f t="shared" si="28"/>
        <v>2999225008.4348669</v>
      </c>
      <c r="R67" s="33">
        <f t="shared" si="29"/>
        <v>785183252498.77771</v>
      </c>
    </row>
    <row r="68" spans="1:18" x14ac:dyDescent="0.25">
      <c r="A68" s="14">
        <v>2010</v>
      </c>
      <c r="B68" s="14">
        <v>2064588</v>
      </c>
      <c r="C68" s="14">
        <f t="shared" si="14"/>
        <v>2010</v>
      </c>
      <c r="D68" s="24">
        <f t="shared" si="15"/>
        <v>2064588</v>
      </c>
      <c r="E68" s="17">
        <f t="shared" si="16"/>
        <v>4040100</v>
      </c>
      <c r="F68" s="17">
        <f t="shared" si="17"/>
        <v>4149821880</v>
      </c>
      <c r="G68" s="17">
        <f t="shared" si="18"/>
        <v>7.6058900010531216</v>
      </c>
      <c r="H68" s="17">
        <f t="shared" si="19"/>
        <v>14.540441248732858</v>
      </c>
      <c r="I68" s="18">
        <f t="shared" si="20"/>
        <v>110.59299670463761</v>
      </c>
      <c r="J68" s="18">
        <f t="shared" si="21"/>
        <v>57.849562708119855</v>
      </c>
      <c r="K68" s="33">
        <f t="shared" si="22"/>
        <v>29226.286909953044</v>
      </c>
      <c r="L68" s="33">
        <f t="shared" si="23"/>
        <v>202220.43589743972</v>
      </c>
      <c r="M68" s="33">
        <f t="shared" si="24"/>
        <v>40893104694.550529</v>
      </c>
      <c r="N68" s="33">
        <f t="shared" si="25"/>
        <v>-222122.59691908956</v>
      </c>
      <c r="O68" s="33">
        <f t="shared" si="26"/>
        <v>49338448062.08033</v>
      </c>
      <c r="P68" s="33">
        <f t="shared" si="27"/>
        <v>-242829.55101026967</v>
      </c>
      <c r="Q68" s="33">
        <f t="shared" si="28"/>
        <v>58966190843.849159</v>
      </c>
      <c r="R68" s="33">
        <f t="shared" si="29"/>
        <v>1275746907106.7773</v>
      </c>
    </row>
    <row r="69" spans="1:18" x14ac:dyDescent="0.25">
      <c r="C69" s="14">
        <f t="shared" ref="C69:K69" si="30">SUM(C57:C68)</f>
        <v>23460</v>
      </c>
      <c r="D69" s="16">
        <f t="shared" si="30"/>
        <v>11221180</v>
      </c>
      <c r="E69" s="19">
        <f t="shared" si="30"/>
        <v>45878600</v>
      </c>
      <c r="F69" s="17">
        <f t="shared" si="30"/>
        <v>22178496900</v>
      </c>
      <c r="G69" s="18">
        <f t="shared" si="30"/>
        <v>90.935874412690055</v>
      </c>
      <c r="H69" s="18">
        <f t="shared" si="30"/>
        <v>162.15744094368588</v>
      </c>
      <c r="I69" s="18">
        <f t="shared" si="30"/>
        <v>1228.978923210909</v>
      </c>
      <c r="J69" s="18">
        <f t="shared" si="30"/>
        <v>689.11484768827142</v>
      </c>
      <c r="K69" s="33">
        <f t="shared" si="30"/>
        <v>317313.81209806085</v>
      </c>
      <c r="L69" s="34" t="s">
        <v>7</v>
      </c>
      <c r="M69" s="33">
        <f>SUM(M57:M68)</f>
        <v>208436936365.14301</v>
      </c>
      <c r="N69" s="34"/>
      <c r="O69" s="33">
        <f>SUM(O57:O68)</f>
        <v>76385594690.056107</v>
      </c>
      <c r="P69" s="34"/>
      <c r="Q69" s="33">
        <f>SUM(Q57:Q68)</f>
        <v>88863042684.536255</v>
      </c>
      <c r="R69" s="33">
        <f>SUM(R57:R68)</f>
        <v>4273079460840.6665</v>
      </c>
    </row>
    <row r="71" spans="1:18" x14ac:dyDescent="0.25">
      <c r="I71" s="26" t="s">
        <v>25</v>
      </c>
      <c r="J71" s="26" t="s">
        <v>26</v>
      </c>
      <c r="K71" s="5" t="s">
        <v>30</v>
      </c>
    </row>
    <row r="72" spans="1:18" ht="21" customHeight="1" x14ac:dyDescent="0.25">
      <c r="I72" s="11"/>
      <c r="J72" s="20">
        <f>(J78*F69-C69*D69)/(J78*E69-(C69^2))</f>
        <v>16859.440559440558</v>
      </c>
    </row>
    <row r="73" spans="1:18" ht="21" customHeight="1" x14ac:dyDescent="0.25">
      <c r="I73" s="11"/>
      <c r="J73" s="35">
        <f>(E69*D69-F69*C69)/(J78*E69-(C69^2))</f>
        <v>-32025107.960372962</v>
      </c>
    </row>
    <row r="74" spans="1:18" ht="21" customHeight="1" thickBot="1" x14ac:dyDescent="0.3">
      <c r="I74" s="11"/>
      <c r="J74" s="21">
        <f>(J78*I69-H69*G69)/(J78*J69-(G69^2))</f>
        <v>40.483367444529705</v>
      </c>
      <c r="M74" s="115"/>
      <c r="N74" s="115"/>
    </row>
    <row r="75" spans="1:18" ht="21" customHeight="1" thickTop="1" x14ac:dyDescent="0.25">
      <c r="I75" s="11"/>
      <c r="J75" s="22">
        <f>(J69*H69-I69*G69)/(J78*J69-(G69^2))</f>
        <v>-293.26941473297785</v>
      </c>
      <c r="K75" s="21">
        <f>EXP(J75)</f>
        <v>4.3123248638859602E-128</v>
      </c>
      <c r="M75" s="37" t="s">
        <v>11</v>
      </c>
      <c r="N75" s="12">
        <f>SQRT((R69-M69)/R69)</f>
        <v>0.97530554594350949</v>
      </c>
    </row>
    <row r="76" spans="1:18" ht="21" customHeight="1" x14ac:dyDescent="0.25">
      <c r="I76" s="11"/>
      <c r="J76" s="21">
        <f>(J78*K69-C69*H69)/(J78*E69-(C69^2))</f>
        <v>2.0700353367478285E-2</v>
      </c>
      <c r="M76" s="36" t="s">
        <v>12</v>
      </c>
      <c r="N76" s="11">
        <f>SQRT((R69-O69)/R69)</f>
        <v>0.99102169192068712</v>
      </c>
    </row>
    <row r="77" spans="1:18" ht="21" customHeight="1" x14ac:dyDescent="0.25">
      <c r="I77" s="11"/>
      <c r="J77" s="22">
        <f>(E69*H69-K69*C69)/(J78*E69-(C69^2))</f>
        <v>-26.956070754783692</v>
      </c>
      <c r="K77" s="21">
        <f>EXP(J77)</f>
        <v>1.9639354860411196E-12</v>
      </c>
      <c r="M77" s="38" t="s">
        <v>29</v>
      </c>
      <c r="N77" s="11">
        <f>SQRT((R69-Q69)/R69)</f>
        <v>0.98954736155443024</v>
      </c>
    </row>
    <row r="78" spans="1:18" ht="21" customHeight="1" x14ac:dyDescent="0.25">
      <c r="I78" s="25"/>
      <c r="J78" s="25">
        <v>12</v>
      </c>
    </row>
    <row r="79" spans="1:18" ht="21" customHeight="1" x14ac:dyDescent="0.25">
      <c r="I79" s="17"/>
      <c r="J79" s="14">
        <f>AVERAGE(B57:B68)</f>
        <v>935098.33333333337</v>
      </c>
      <c r="M79" s="11" t="s">
        <v>40</v>
      </c>
      <c r="N79" s="11">
        <f>N76-N77</f>
        <v>1.4743303662568819E-3</v>
      </c>
    </row>
    <row r="80" spans="1:18" ht="21" customHeight="1" x14ac:dyDescent="0.25">
      <c r="I80" s="17"/>
      <c r="J80" s="11">
        <f>MAX(N75:N77)</f>
        <v>0.99102169192068712</v>
      </c>
    </row>
    <row r="81" spans="2:14" ht="21" customHeight="1" x14ac:dyDescent="0.25">
      <c r="B81" s="116" t="s">
        <v>34</v>
      </c>
      <c r="C81" s="116"/>
      <c r="D81" s="116"/>
      <c r="E81" s="116"/>
      <c r="F81" s="116"/>
      <c r="G81" s="116"/>
      <c r="I81" s="39"/>
      <c r="J81" s="31"/>
    </row>
    <row r="82" spans="2:14" ht="31.5" customHeight="1" x14ac:dyDescent="0.25">
      <c r="B82" s="45" t="s">
        <v>11</v>
      </c>
      <c r="C82" s="107"/>
      <c r="D82" s="107"/>
      <c r="E82" s="107"/>
      <c r="F82" s="107"/>
      <c r="G82" s="107"/>
      <c r="I82" s="39"/>
      <c r="J82" s="31"/>
    </row>
    <row r="83" spans="2:14" ht="31.5" customHeight="1" x14ac:dyDescent="0.25">
      <c r="B83" s="46" t="s">
        <v>12</v>
      </c>
      <c r="C83" s="107"/>
      <c r="D83" s="107"/>
      <c r="E83" s="107"/>
      <c r="F83" s="107"/>
      <c r="G83" s="107"/>
      <c r="I83" s="39"/>
      <c r="J83" s="31"/>
    </row>
    <row r="84" spans="2:14" ht="31.5" customHeight="1" x14ac:dyDescent="0.25">
      <c r="B84" s="47" t="s">
        <v>29</v>
      </c>
      <c r="C84" s="107"/>
      <c r="D84" s="107"/>
      <c r="E84" s="107"/>
      <c r="F84" s="107"/>
      <c r="G84" s="107"/>
      <c r="I84" s="39"/>
      <c r="J84" s="31"/>
    </row>
    <row r="86" spans="2:14" x14ac:dyDescent="0.25">
      <c r="B86" s="8" t="s">
        <v>166</v>
      </c>
      <c r="C86" s="8"/>
      <c r="D86" s="8"/>
      <c r="E86" s="8"/>
      <c r="F86" s="8"/>
      <c r="G86" s="8"/>
      <c r="H86" s="8"/>
      <c r="I86" s="8"/>
      <c r="J86" s="8"/>
      <c r="K86" s="8"/>
    </row>
    <row r="87" spans="2:14" hidden="1" x14ac:dyDescent="0.25"/>
    <row r="88" spans="2:14" hidden="1" x14ac:dyDescent="0.25"/>
    <row r="89" spans="2:14" hidden="1" x14ac:dyDescent="0.25"/>
    <row r="91" spans="2:14" x14ac:dyDescent="0.25">
      <c r="B91" s="41" t="s">
        <v>37</v>
      </c>
      <c r="C91" s="40"/>
      <c r="D91" s="40"/>
      <c r="E91" s="40"/>
      <c r="F91" s="40"/>
      <c r="G91" s="40"/>
      <c r="H91" s="40"/>
      <c r="I91" s="40"/>
      <c r="J91" s="40"/>
      <c r="K91" s="40"/>
      <c r="L91" s="40"/>
      <c r="M91" s="40"/>
      <c r="N91" s="40"/>
    </row>
    <row r="92" spans="2:14" x14ac:dyDescent="0.25">
      <c r="B92" t="s">
        <v>38</v>
      </c>
    </row>
    <row r="116" spans="2:14" x14ac:dyDescent="0.25">
      <c r="C116" t="s">
        <v>39</v>
      </c>
    </row>
    <row r="117" spans="2:14" x14ac:dyDescent="0.25">
      <c r="D117" t="s">
        <v>276</v>
      </c>
    </row>
    <row r="119" spans="2:14" x14ac:dyDescent="0.25">
      <c r="B119" s="41" t="s">
        <v>41</v>
      </c>
      <c r="C119" s="40"/>
      <c r="D119" s="40"/>
      <c r="E119" s="40"/>
      <c r="F119" s="40"/>
      <c r="G119" s="40"/>
      <c r="H119" s="40"/>
      <c r="I119" s="40"/>
      <c r="J119" s="40"/>
      <c r="K119" s="40"/>
      <c r="L119" s="40"/>
      <c r="M119" s="40"/>
      <c r="N119" s="40"/>
    </row>
    <row r="120" spans="2:14" x14ac:dyDescent="0.25">
      <c r="C120" t="s">
        <v>42</v>
      </c>
    </row>
    <row r="121" spans="2:14" x14ac:dyDescent="0.25">
      <c r="C121" t="s">
        <v>43</v>
      </c>
      <c r="D121" s="42"/>
    </row>
    <row r="122" spans="2:14" x14ac:dyDescent="0.25">
      <c r="C122" t="s">
        <v>44</v>
      </c>
    </row>
    <row r="123" spans="2:14" x14ac:dyDescent="0.25">
      <c r="D123" t="s">
        <v>277</v>
      </c>
    </row>
    <row r="124" spans="2:14" x14ac:dyDescent="0.25">
      <c r="B124" s="41" t="s">
        <v>45</v>
      </c>
      <c r="C124" s="40"/>
      <c r="D124" s="40"/>
      <c r="E124" s="40"/>
      <c r="F124" s="40"/>
      <c r="G124" s="40"/>
      <c r="H124" s="40"/>
      <c r="I124" s="40"/>
      <c r="J124" s="40"/>
      <c r="K124" s="40"/>
      <c r="L124" s="40"/>
      <c r="M124" s="40"/>
      <c r="N124" s="40"/>
    </row>
    <row r="125" spans="2:14" x14ac:dyDescent="0.25">
      <c r="C125" t="s">
        <v>165</v>
      </c>
    </row>
    <row r="127" spans="2:14" x14ac:dyDescent="0.25">
      <c r="D127" s="53" t="s">
        <v>46</v>
      </c>
      <c r="E127" s="87">
        <f>K75*(1987^(J74))</f>
        <v>1435051.9707799114</v>
      </c>
    </row>
    <row r="129" spans="2:3" x14ac:dyDescent="0.25">
      <c r="C129" t="s">
        <v>48</v>
      </c>
    </row>
    <row r="133" spans="2:3" x14ac:dyDescent="0.25">
      <c r="B133" t="s">
        <v>131</v>
      </c>
    </row>
    <row r="134" spans="2:3" x14ac:dyDescent="0.25">
      <c r="C134" s="30" t="s">
        <v>132</v>
      </c>
    </row>
    <row r="135" spans="2:3" x14ac:dyDescent="0.25">
      <c r="C135" s="30" t="s">
        <v>133</v>
      </c>
    </row>
    <row r="136" spans="2:3" x14ac:dyDescent="0.25">
      <c r="C136" s="30" t="s">
        <v>134</v>
      </c>
    </row>
    <row r="137" spans="2:3" x14ac:dyDescent="0.25">
      <c r="C137" s="30" t="s">
        <v>135</v>
      </c>
    </row>
  </sheetData>
  <mergeCells count="5">
    <mergeCell ref="M74:N74"/>
    <mergeCell ref="C82:G82"/>
    <mergeCell ref="C83:G83"/>
    <mergeCell ref="C84:G84"/>
    <mergeCell ref="B81:G81"/>
  </mergeCells>
  <conditionalFormatting sqref="N75:N77">
    <cfRule type="cellIs" dxfId="2" priority="1" operator="equal">
      <formula>$J$80</formula>
    </cfRule>
    <cfRule type="cellIs" dxfId="1" priority="2" operator="equal">
      <formula>$J$90</formula>
    </cfRule>
    <cfRule type="cellIs" dxfId="0" priority="3" operator="equal">
      <formula>$J$87</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07884-9ADC-40EE-AF46-B19208ABBFD8}">
  <sheetPr codeName="Sheet5"/>
  <dimension ref="A1:K155"/>
  <sheetViews>
    <sheetView workbookViewId="0">
      <selection activeCell="S13" sqref="S13"/>
    </sheetView>
  </sheetViews>
  <sheetFormatPr defaultRowHeight="15" x14ac:dyDescent="0.25"/>
  <cols>
    <col min="5" max="6" width="13.140625" customWidth="1"/>
    <col min="7" max="7" width="12.42578125" customWidth="1"/>
    <col min="10" max="10" width="14.7109375" customWidth="1"/>
  </cols>
  <sheetData>
    <row r="1" spans="1:1" ht="18.75" x14ac:dyDescent="0.3">
      <c r="A1" s="48" t="s">
        <v>144</v>
      </c>
    </row>
    <row r="24" spans="1:3" x14ac:dyDescent="0.25">
      <c r="A24" t="s">
        <v>10</v>
      </c>
    </row>
    <row r="25" spans="1:3" x14ac:dyDescent="0.25">
      <c r="B25" t="s">
        <v>112</v>
      </c>
    </row>
    <row r="26" spans="1:3" x14ac:dyDescent="0.25">
      <c r="C26" t="s">
        <v>113</v>
      </c>
    </row>
    <row r="32" spans="1:3" x14ac:dyDescent="0.25">
      <c r="C32" t="s">
        <v>114</v>
      </c>
    </row>
    <row r="34" spans="2:11" x14ac:dyDescent="0.25">
      <c r="B34" t="s">
        <v>115</v>
      </c>
    </row>
    <row r="36" spans="2:11" x14ac:dyDescent="0.25">
      <c r="C36" t="s">
        <v>116</v>
      </c>
      <c r="K36" t="s">
        <v>125</v>
      </c>
    </row>
    <row r="38" spans="2:11" x14ac:dyDescent="0.25">
      <c r="G38" s="69" t="s">
        <v>121</v>
      </c>
    </row>
    <row r="40" spans="2:11" x14ac:dyDescent="0.25">
      <c r="C40" t="s">
        <v>117</v>
      </c>
    </row>
    <row r="45" spans="2:11" x14ac:dyDescent="0.25">
      <c r="C45" t="s">
        <v>118</v>
      </c>
    </row>
    <row r="46" spans="2:11" x14ac:dyDescent="0.25">
      <c r="H46" t="s">
        <v>119</v>
      </c>
    </row>
    <row r="55" spans="2:6" x14ac:dyDescent="0.25">
      <c r="B55" s="5" t="s">
        <v>122</v>
      </c>
    </row>
    <row r="56" spans="2:6" ht="20.25" customHeight="1" x14ac:dyDescent="0.25">
      <c r="B56" s="11"/>
      <c r="C56" s="70">
        <v>0.1</v>
      </c>
      <c r="E56" s="4"/>
    </row>
    <row r="57" spans="2:6" x14ac:dyDescent="0.25">
      <c r="B57" s="117" t="s">
        <v>120</v>
      </c>
      <c r="C57" s="117"/>
      <c r="D57" s="117"/>
      <c r="E57" s="117"/>
      <c r="F57" s="117"/>
    </row>
    <row r="58" spans="2:6" ht="25.5" customHeight="1" thickBot="1" x14ac:dyDescent="0.3">
      <c r="B58" s="66"/>
      <c r="C58" s="66"/>
      <c r="D58" s="66"/>
      <c r="E58" s="67" t="s">
        <v>114</v>
      </c>
      <c r="F58" s="66"/>
    </row>
    <row r="59" spans="2:6" ht="15.75" thickTop="1" x14ac:dyDescent="0.25">
      <c r="B59" s="12">
        <v>0</v>
      </c>
      <c r="C59" s="12">
        <v>0</v>
      </c>
      <c r="D59" s="77">
        <v>2</v>
      </c>
      <c r="E59" s="12">
        <v>2</v>
      </c>
      <c r="F59" s="12">
        <f>ABS(D59-E59)</f>
        <v>0</v>
      </c>
    </row>
    <row r="60" spans="2:6" x14ac:dyDescent="0.25">
      <c r="B60" s="11">
        <v>1</v>
      </c>
      <c r="C60" s="11">
        <f>0.1*B60</f>
        <v>0.1</v>
      </c>
      <c r="D60" s="78">
        <f>D59+(4*C59-2*D59)*$C$56</f>
        <v>1.6</v>
      </c>
      <c r="E60" s="68">
        <f>2*C60+3*EXP(-2*C60)-1</f>
        <v>1.6561922592339458</v>
      </c>
      <c r="F60" s="68">
        <f t="shared" ref="F60:F69" si="0">ABS(D60-E60)</f>
        <v>5.6192259233945663E-2</v>
      </c>
    </row>
    <row r="61" spans="2:6" x14ac:dyDescent="0.25">
      <c r="B61" s="11">
        <v>2</v>
      </c>
      <c r="C61" s="11">
        <f t="shared" ref="C61:C69" si="1">0.1*B61</f>
        <v>0.2</v>
      </c>
      <c r="D61" s="78">
        <f t="shared" ref="D61:D69" si="2">D60+(4*C60-2*D60)*$C$56</f>
        <v>1.32</v>
      </c>
      <c r="E61" s="68">
        <f t="shared" ref="E61:E69" si="3">2*C61+3*EXP(-2*C61)-1</f>
        <v>1.4109601381069177</v>
      </c>
      <c r="F61" s="68">
        <f t="shared" si="0"/>
        <v>9.096013810691761E-2</v>
      </c>
    </row>
    <row r="62" spans="2:6" x14ac:dyDescent="0.25">
      <c r="B62" s="11">
        <v>3</v>
      </c>
      <c r="C62" s="11">
        <f t="shared" si="1"/>
        <v>0.30000000000000004</v>
      </c>
      <c r="D62" s="78">
        <f t="shared" si="2"/>
        <v>1.1360000000000001</v>
      </c>
      <c r="E62" s="68">
        <f t="shared" si="3"/>
        <v>1.2464349082820791</v>
      </c>
      <c r="F62" s="68">
        <f t="shared" si="0"/>
        <v>0.11043490828207903</v>
      </c>
    </row>
    <row r="63" spans="2:6" x14ac:dyDescent="0.25">
      <c r="B63" s="11">
        <v>4</v>
      </c>
      <c r="C63" s="11">
        <f t="shared" si="1"/>
        <v>0.4</v>
      </c>
      <c r="D63" s="78">
        <f t="shared" si="2"/>
        <v>1.0288000000000002</v>
      </c>
      <c r="E63" s="68">
        <f t="shared" si="3"/>
        <v>1.147986892351665</v>
      </c>
      <c r="F63" s="68">
        <f t="shared" si="0"/>
        <v>0.1191868923516648</v>
      </c>
    </row>
    <row r="64" spans="2:6" x14ac:dyDescent="0.25">
      <c r="B64" s="11">
        <v>5</v>
      </c>
      <c r="C64" s="11">
        <f t="shared" si="1"/>
        <v>0.5</v>
      </c>
      <c r="D64" s="78">
        <f t="shared" si="2"/>
        <v>0.98304000000000014</v>
      </c>
      <c r="E64" s="68">
        <f t="shared" si="3"/>
        <v>1.103638323514327</v>
      </c>
      <c r="F64" s="68">
        <f t="shared" si="0"/>
        <v>0.12059832351432687</v>
      </c>
    </row>
    <row r="65" spans="2:7" x14ac:dyDescent="0.25">
      <c r="B65" s="11">
        <v>6</v>
      </c>
      <c r="C65" s="11">
        <f t="shared" si="1"/>
        <v>0.60000000000000009</v>
      </c>
      <c r="D65" s="78">
        <f t="shared" si="2"/>
        <v>0.98643200000000009</v>
      </c>
      <c r="E65" s="68">
        <f t="shared" si="3"/>
        <v>1.1035826357366063</v>
      </c>
      <c r="F65" s="68">
        <f t="shared" si="0"/>
        <v>0.11715063573660622</v>
      </c>
    </row>
    <row r="66" spans="2:7" x14ac:dyDescent="0.25">
      <c r="B66" s="11">
        <v>7</v>
      </c>
      <c r="C66" s="11">
        <f t="shared" si="1"/>
        <v>0.70000000000000007</v>
      </c>
      <c r="D66" s="78">
        <f t="shared" si="2"/>
        <v>1.0291456000000001</v>
      </c>
      <c r="E66" s="68">
        <f t="shared" si="3"/>
        <v>1.1397908918248194</v>
      </c>
      <c r="F66" s="68">
        <f t="shared" si="0"/>
        <v>0.1106452918248193</v>
      </c>
    </row>
    <row r="67" spans="2:7" x14ac:dyDescent="0.25">
      <c r="B67" s="11">
        <v>8</v>
      </c>
      <c r="C67" s="11">
        <f t="shared" si="1"/>
        <v>0.8</v>
      </c>
      <c r="D67" s="78">
        <f t="shared" si="2"/>
        <v>1.1033164800000002</v>
      </c>
      <c r="E67" s="68">
        <f t="shared" si="3"/>
        <v>1.2056895539839663</v>
      </c>
      <c r="F67" s="68">
        <f t="shared" si="0"/>
        <v>0.10237307398396611</v>
      </c>
    </row>
    <row r="68" spans="2:7" x14ac:dyDescent="0.25">
      <c r="B68" s="11">
        <v>9</v>
      </c>
      <c r="C68" s="11">
        <f t="shared" si="1"/>
        <v>0.9</v>
      </c>
      <c r="D68" s="78">
        <f t="shared" si="2"/>
        <v>1.2026531840000001</v>
      </c>
      <c r="E68" s="68">
        <f t="shared" si="3"/>
        <v>1.2958966646647596</v>
      </c>
      <c r="F68" s="68">
        <f t="shared" si="0"/>
        <v>9.3243480664759515E-2</v>
      </c>
    </row>
    <row r="69" spans="2:7" x14ac:dyDescent="0.25">
      <c r="B69" s="11">
        <v>10</v>
      </c>
      <c r="C69" s="72">
        <f t="shared" si="1"/>
        <v>1</v>
      </c>
      <c r="D69" s="79">
        <f t="shared" si="2"/>
        <v>1.3221225472</v>
      </c>
      <c r="E69" s="68">
        <f t="shared" si="3"/>
        <v>1.406005849709838</v>
      </c>
      <c r="F69" s="68">
        <f t="shared" si="0"/>
        <v>8.3883302509837998E-2</v>
      </c>
    </row>
    <row r="71" spans="2:7" x14ac:dyDescent="0.25">
      <c r="C71" t="s">
        <v>137</v>
      </c>
    </row>
    <row r="72" spans="2:7" x14ac:dyDescent="0.25">
      <c r="C72" s="88" t="s">
        <v>150</v>
      </c>
      <c r="D72" s="88">
        <f>D69</f>
        <v>1.3221225472</v>
      </c>
    </row>
    <row r="74" spans="2:7" x14ac:dyDescent="0.25">
      <c r="B74" s="117" t="s">
        <v>123</v>
      </c>
      <c r="C74" s="117"/>
      <c r="D74" s="117"/>
      <c r="E74" s="117"/>
      <c r="F74" s="117"/>
      <c r="G74" s="117"/>
    </row>
    <row r="75" spans="2:7" ht="24" customHeight="1" thickBot="1" x14ac:dyDescent="0.3">
      <c r="B75" s="66"/>
      <c r="C75" s="66"/>
      <c r="D75" s="66"/>
      <c r="E75" s="66"/>
      <c r="F75" s="67" t="s">
        <v>114</v>
      </c>
      <c r="G75" s="66"/>
    </row>
    <row r="76" spans="2:7" ht="15.75" thickTop="1" x14ac:dyDescent="0.25">
      <c r="B76" s="12">
        <v>0</v>
      </c>
      <c r="C76" s="12">
        <v>0</v>
      </c>
      <c r="D76" s="12">
        <v>2</v>
      </c>
      <c r="E76" s="12">
        <v>2</v>
      </c>
      <c r="F76" s="12">
        <v>2</v>
      </c>
      <c r="G76" s="12">
        <f>ABS(F76-E76)</f>
        <v>0</v>
      </c>
    </row>
    <row r="77" spans="2:7" x14ac:dyDescent="0.25">
      <c r="B77" s="11">
        <v>1</v>
      </c>
      <c r="C77" s="11">
        <f>0.1*B77</f>
        <v>0.1</v>
      </c>
      <c r="D77" s="11">
        <f>E76+(4*C76-2*E76)*$C$56</f>
        <v>1.6</v>
      </c>
      <c r="E77" s="11">
        <f>E76+((4*C76-2*E76)+(4*C77-2*D77))/2*$C$56</f>
        <v>1.66</v>
      </c>
      <c r="F77" s="68">
        <f>2*C77+3*EXP(-2*C77)-1</f>
        <v>1.6561922592339458</v>
      </c>
      <c r="G77" s="68">
        <f>ABS(F77-E77)</f>
        <v>3.8077407660541684E-3</v>
      </c>
    </row>
    <row r="78" spans="2:7" x14ac:dyDescent="0.25">
      <c r="B78" s="11">
        <v>2</v>
      </c>
      <c r="C78" s="11">
        <f t="shared" ref="C78:C86" si="4">0.1*B78</f>
        <v>0.2</v>
      </c>
      <c r="D78" s="11">
        <f t="shared" ref="D78:D86" si="5">E77+(4*C77-2*E77)*$C$56</f>
        <v>1.3679999999999999</v>
      </c>
      <c r="E78" s="11">
        <f t="shared" ref="E78:E86" si="6">E77+((4*C77-2*E77)+(4*C78-2*D78))/2*$C$56</f>
        <v>1.4171999999999998</v>
      </c>
      <c r="F78" s="68">
        <f t="shared" ref="F78:F86" si="7">2*C78+3*EXP(-2*C78)-1</f>
        <v>1.4109601381069177</v>
      </c>
      <c r="G78" s="68">
        <f t="shared" ref="G78:G86" si="8">ABS(F78-E78)</f>
        <v>6.2398618930821215E-3</v>
      </c>
    </row>
    <row r="79" spans="2:7" x14ac:dyDescent="0.25">
      <c r="B79" s="11">
        <v>3</v>
      </c>
      <c r="C79" s="11">
        <f t="shared" si="4"/>
        <v>0.30000000000000004</v>
      </c>
      <c r="D79" s="11">
        <f t="shared" si="5"/>
        <v>1.2137599999999997</v>
      </c>
      <c r="E79" s="11">
        <f t="shared" si="6"/>
        <v>1.2541039999999999</v>
      </c>
      <c r="F79" s="68">
        <f t="shared" si="7"/>
        <v>1.2464349082820791</v>
      </c>
      <c r="G79" s="68">
        <f t="shared" si="8"/>
        <v>7.6690917179207396E-3</v>
      </c>
    </row>
    <row r="80" spans="2:7" x14ac:dyDescent="0.25">
      <c r="B80" s="11">
        <v>4</v>
      </c>
      <c r="C80" s="11">
        <f t="shared" si="4"/>
        <v>0.4</v>
      </c>
      <c r="D80" s="11">
        <f t="shared" si="5"/>
        <v>1.1232831999999999</v>
      </c>
      <c r="E80" s="11">
        <f t="shared" si="6"/>
        <v>1.1563652799999999</v>
      </c>
      <c r="F80" s="68">
        <f t="shared" si="7"/>
        <v>1.147986892351665</v>
      </c>
      <c r="G80" s="68">
        <f t="shared" si="8"/>
        <v>8.378387648334984E-3</v>
      </c>
    </row>
    <row r="81" spans="2:7" x14ac:dyDescent="0.25">
      <c r="B81" s="11">
        <v>5</v>
      </c>
      <c r="C81" s="11">
        <f t="shared" si="4"/>
        <v>0.5</v>
      </c>
      <c r="D81" s="11">
        <f t="shared" si="5"/>
        <v>1.085092224</v>
      </c>
      <c r="E81" s="11">
        <f t="shared" si="6"/>
        <v>1.1122195295999999</v>
      </c>
      <c r="F81" s="68">
        <f t="shared" si="7"/>
        <v>1.103638323514327</v>
      </c>
      <c r="G81" s="68">
        <f t="shared" si="8"/>
        <v>8.5812060856729211E-3</v>
      </c>
    </row>
    <row r="82" spans="2:7" x14ac:dyDescent="0.25">
      <c r="B82" s="11">
        <v>6</v>
      </c>
      <c r="C82" s="11">
        <f t="shared" si="4"/>
        <v>0.60000000000000009</v>
      </c>
      <c r="D82" s="11">
        <f t="shared" si="5"/>
        <v>1.08977562368</v>
      </c>
      <c r="E82" s="11">
        <f t="shared" si="6"/>
        <v>1.112020014272</v>
      </c>
      <c r="F82" s="68">
        <f t="shared" si="7"/>
        <v>1.1035826357366063</v>
      </c>
      <c r="G82" s="68">
        <f t="shared" si="8"/>
        <v>8.4373785353937247E-3</v>
      </c>
    </row>
    <row r="83" spans="2:7" x14ac:dyDescent="0.25">
      <c r="B83" s="11">
        <v>7</v>
      </c>
      <c r="C83" s="11">
        <f t="shared" si="4"/>
        <v>0.70000000000000007</v>
      </c>
      <c r="D83" s="11">
        <f t="shared" si="5"/>
        <v>1.1296160114176002</v>
      </c>
      <c r="E83" s="11">
        <f t="shared" si="6"/>
        <v>1.1478564117030401</v>
      </c>
      <c r="F83" s="68">
        <f t="shared" si="7"/>
        <v>1.1397908918248194</v>
      </c>
      <c r="G83" s="68">
        <f t="shared" si="8"/>
        <v>8.0655198782206838E-3</v>
      </c>
    </row>
    <row r="84" spans="2:7" x14ac:dyDescent="0.25">
      <c r="B84" s="11">
        <v>8</v>
      </c>
      <c r="C84" s="11">
        <f t="shared" si="4"/>
        <v>0.8</v>
      </c>
      <c r="D84" s="11">
        <f t="shared" si="5"/>
        <v>1.1982851293624321</v>
      </c>
      <c r="E84" s="11">
        <f t="shared" si="6"/>
        <v>1.213242257596493</v>
      </c>
      <c r="F84" s="68">
        <f t="shared" si="7"/>
        <v>1.2056895539839663</v>
      </c>
      <c r="G84" s="68">
        <f t="shared" si="8"/>
        <v>7.55270361252669E-3</v>
      </c>
    </row>
    <row r="85" spans="2:7" x14ac:dyDescent="0.25">
      <c r="B85" s="11">
        <v>9</v>
      </c>
      <c r="C85" s="11">
        <f t="shared" si="4"/>
        <v>0.9</v>
      </c>
      <c r="D85" s="11">
        <f t="shared" si="5"/>
        <v>1.2905938060771944</v>
      </c>
      <c r="E85" s="11">
        <f t="shared" si="6"/>
        <v>1.3028586512291243</v>
      </c>
      <c r="F85" s="68">
        <f t="shared" si="7"/>
        <v>1.2958966646647596</v>
      </c>
      <c r="G85" s="68">
        <f t="shared" si="8"/>
        <v>6.9619865643646417E-3</v>
      </c>
    </row>
    <row r="86" spans="2:7" x14ac:dyDescent="0.25">
      <c r="B86" s="11">
        <v>10</v>
      </c>
      <c r="C86" s="72">
        <f t="shared" si="4"/>
        <v>1</v>
      </c>
      <c r="D86" s="11">
        <f t="shared" si="5"/>
        <v>1.4022869209832993</v>
      </c>
      <c r="E86" s="43">
        <f t="shared" si="6"/>
        <v>1.412344094007882</v>
      </c>
      <c r="F86" s="68">
        <f t="shared" si="7"/>
        <v>1.406005849709838</v>
      </c>
      <c r="G86" s="68">
        <f t="shared" si="8"/>
        <v>6.3382442980439713E-3</v>
      </c>
    </row>
    <row r="88" spans="2:7" x14ac:dyDescent="0.25">
      <c r="C88" s="89" t="s">
        <v>150</v>
      </c>
      <c r="D88" s="89">
        <f>E86</f>
        <v>1.412344094007882</v>
      </c>
    </row>
    <row r="95" spans="2:7" x14ac:dyDescent="0.25">
      <c r="C95" t="s">
        <v>138</v>
      </c>
    </row>
    <row r="97" spans="2:10" x14ac:dyDescent="0.25">
      <c r="B97" s="117" t="s">
        <v>124</v>
      </c>
      <c r="C97" s="117"/>
      <c r="D97" s="117"/>
      <c r="E97" s="117"/>
      <c r="F97" s="117"/>
      <c r="G97" s="117"/>
      <c r="H97" s="117"/>
      <c r="I97" s="117"/>
      <c r="J97" s="117"/>
    </row>
    <row r="98" spans="2:10" ht="21.75" customHeight="1" thickBot="1" x14ac:dyDescent="0.3">
      <c r="B98" s="66"/>
      <c r="C98" s="66"/>
      <c r="D98" s="66"/>
      <c r="E98" s="66"/>
      <c r="F98" s="66"/>
      <c r="G98" s="66"/>
      <c r="H98" s="66"/>
      <c r="I98" s="67" t="s">
        <v>114</v>
      </c>
      <c r="J98" s="66"/>
    </row>
    <row r="99" spans="2:10" ht="15.75" thickTop="1" x14ac:dyDescent="0.25">
      <c r="B99" s="12">
        <v>0</v>
      </c>
      <c r="C99" s="12">
        <v>0</v>
      </c>
      <c r="D99" s="12">
        <f>4*(C99)-2*(H99)</f>
        <v>-4</v>
      </c>
      <c r="E99" s="12">
        <f>4*(C99+($C$56/2))-2*(H99+($C$56/2)*D99)</f>
        <v>-3.4</v>
      </c>
      <c r="F99" s="12">
        <f>4*(C99+($C$56/2))-2*(H99+($C$56/2)*E99)</f>
        <v>-3.46</v>
      </c>
      <c r="G99" s="12">
        <f>4*(C99+$C$56)-2*(H99+$C$56*F99)</f>
        <v>-2.9079999999999999</v>
      </c>
      <c r="H99" s="12">
        <v>2</v>
      </c>
      <c r="I99" s="12">
        <f>2*C99+(3*EXP(-2*C99))-1</f>
        <v>2</v>
      </c>
      <c r="J99" s="12">
        <f>ABS(H99-I99)</f>
        <v>0</v>
      </c>
    </row>
    <row r="100" spans="2:10" x14ac:dyDescent="0.25">
      <c r="B100" s="11">
        <f>B99+1</f>
        <v>1</v>
      </c>
      <c r="C100" s="11">
        <f>C99+0.1</f>
        <v>0.1</v>
      </c>
      <c r="D100" s="12">
        <f>4*(C100)-2*(H100)</f>
        <v>-2.9124000000000003</v>
      </c>
      <c r="E100" s="12">
        <f>4*(C100+($C$56/2))-2*(H100+($C$56/2)*D100)</f>
        <v>-2.42116</v>
      </c>
      <c r="F100" s="12">
        <f>4*(C100+($C$56/2))-2*(H100+($C$56/2)*E100)</f>
        <v>-2.4702839999999999</v>
      </c>
      <c r="G100" s="12">
        <f>4*(C100+$C$56)-2*(H100+$C$56*F100)</f>
        <v>-2.0183432000000003</v>
      </c>
      <c r="H100" s="11">
        <f>H99+($C$56/6)*(D99+2*E99+2*F99+G99)</f>
        <v>1.6562000000000001</v>
      </c>
      <c r="I100" s="12">
        <f t="shared" ref="I100:I109" si="9">2*C100+(3*EXP(-2*C100))-1</f>
        <v>1.6561922592339458</v>
      </c>
      <c r="J100" s="71">
        <f>ABS(H100-I100)</f>
        <v>7.7407660543649115E-6</v>
      </c>
    </row>
    <row r="101" spans="2:10" x14ac:dyDescent="0.25">
      <c r="B101" s="11">
        <f t="shared" ref="B101:B109" si="10">B100+1</f>
        <v>2</v>
      </c>
      <c r="C101" s="11">
        <f t="shared" ref="C101:C109" si="11">C100+0.1</f>
        <v>0.2</v>
      </c>
      <c r="D101" s="12">
        <f t="shared" ref="D101:D109" si="12">4*(C101)-2*(H101)</f>
        <v>-2.0219456266666667</v>
      </c>
      <c r="E101" s="12">
        <f t="shared" ref="E101:E109" si="13">4*(C101+($C$56/2))-2*(H101+($C$56/2)*D101)</f>
        <v>-1.6197510640000004</v>
      </c>
      <c r="F101" s="12">
        <f t="shared" ref="F101:F109" si="14">4*(C101+($C$56/2))-2*(H101+($C$56/2)*E101)</f>
        <v>-1.659970520266667</v>
      </c>
      <c r="G101" s="12">
        <f t="shared" ref="G101:G109" si="15">4*(C101+$C$56)-2*(H101+$C$56*F101)</f>
        <v>-1.2899515226133333</v>
      </c>
      <c r="H101" s="11">
        <f t="shared" ref="H101:H109" si="16">H100+($C$56/6)*(D100+2*E100+2*F100+G100)</f>
        <v>1.4109728133333335</v>
      </c>
      <c r="I101" s="12">
        <f t="shared" si="9"/>
        <v>1.4109601381069177</v>
      </c>
      <c r="J101" s="71">
        <f t="shared" ref="J101:J109" si="17">ABS(H101-I101)</f>
        <v>1.2675226415792551E-5</v>
      </c>
    </row>
    <row r="102" spans="2:10" x14ac:dyDescent="0.25">
      <c r="B102" s="11">
        <f t="shared" si="10"/>
        <v>3</v>
      </c>
      <c r="C102" s="11">
        <f t="shared" si="11"/>
        <v>0.30000000000000004</v>
      </c>
      <c r="D102" s="12">
        <f t="shared" si="12"/>
        <v>-1.2929009494062225</v>
      </c>
      <c r="E102" s="12">
        <f t="shared" si="13"/>
        <v>-0.96361085446560035</v>
      </c>
      <c r="F102" s="12">
        <f t="shared" si="14"/>
        <v>-0.99653986395966254</v>
      </c>
      <c r="G102" s="12">
        <f t="shared" si="15"/>
        <v>-0.69359297661429009</v>
      </c>
      <c r="H102" s="11">
        <f t="shared" si="16"/>
        <v>1.2464504747031113</v>
      </c>
      <c r="I102" s="12">
        <f t="shared" si="9"/>
        <v>1.2464349082820791</v>
      </c>
      <c r="J102" s="71">
        <f t="shared" si="17"/>
        <v>1.5566421032175981E-5</v>
      </c>
    </row>
    <row r="103" spans="2:10" x14ac:dyDescent="0.25">
      <c r="B103" s="11">
        <f t="shared" si="10"/>
        <v>4</v>
      </c>
      <c r="C103" s="11">
        <f t="shared" si="11"/>
        <v>0.4</v>
      </c>
      <c r="D103" s="12">
        <f t="shared" si="12"/>
        <v>-0.69600777064385477</v>
      </c>
      <c r="E103" s="12">
        <f t="shared" si="13"/>
        <v>-0.42640699357946921</v>
      </c>
      <c r="F103" s="12">
        <f t="shared" si="14"/>
        <v>-0.4533670712859077</v>
      </c>
      <c r="G103" s="12">
        <f t="shared" si="15"/>
        <v>-0.20533435638667319</v>
      </c>
      <c r="H103" s="11">
        <f t="shared" si="16"/>
        <v>1.1480038853219274</v>
      </c>
      <c r="I103" s="12">
        <f t="shared" si="9"/>
        <v>1.147986892351665</v>
      </c>
      <c r="J103" s="71">
        <f t="shared" si="17"/>
        <v>1.6992970262474927E-5</v>
      </c>
    </row>
    <row r="104" spans="2:10" x14ac:dyDescent="0.25">
      <c r="B104" s="11">
        <f t="shared" si="10"/>
        <v>5</v>
      </c>
      <c r="C104" s="11">
        <f t="shared" si="11"/>
        <v>0.5</v>
      </c>
      <c r="D104" s="12">
        <f t="shared" si="12"/>
        <v>-0.20731142875181208</v>
      </c>
      <c r="E104" s="12">
        <f t="shared" si="13"/>
        <v>1.3419714123369175E-2</v>
      </c>
      <c r="F104" s="12">
        <f t="shared" si="14"/>
        <v>-8.6534001641487279E-3</v>
      </c>
      <c r="G104" s="12">
        <f t="shared" si="15"/>
        <v>0.19441925128101767</v>
      </c>
      <c r="H104" s="11">
        <f t="shared" si="16"/>
        <v>1.103655714375906</v>
      </c>
      <c r="I104" s="12">
        <f t="shared" si="9"/>
        <v>1.103638323514327</v>
      </c>
      <c r="J104" s="71">
        <f t="shared" si="17"/>
        <v>1.7390861579036354E-5</v>
      </c>
    </row>
    <row r="105" spans="2:10" x14ac:dyDescent="0.25">
      <c r="B105" s="11">
        <f t="shared" si="10"/>
        <v>6</v>
      </c>
      <c r="C105" s="11">
        <f t="shared" si="11"/>
        <v>0.6</v>
      </c>
      <c r="D105" s="12">
        <f t="shared" si="12"/>
        <v>0.1928005562332662</v>
      </c>
      <c r="E105" s="12">
        <f t="shared" si="13"/>
        <v>0.3735205006099398</v>
      </c>
      <c r="F105" s="12">
        <f t="shared" si="14"/>
        <v>0.35544850617227253</v>
      </c>
      <c r="G105" s="12">
        <f t="shared" si="15"/>
        <v>0.52171085499881142</v>
      </c>
      <c r="H105" s="11">
        <f t="shared" si="16"/>
        <v>1.1035997218833669</v>
      </c>
      <c r="I105" s="12">
        <f t="shared" si="9"/>
        <v>1.1035826357366063</v>
      </c>
      <c r="J105" s="71">
        <f t="shared" si="17"/>
        <v>1.7086146760547649E-5</v>
      </c>
    </row>
    <row r="106" spans="2:10" x14ac:dyDescent="0.25">
      <c r="B106" s="11">
        <f t="shared" si="10"/>
        <v>7</v>
      </c>
      <c r="C106" s="11">
        <f t="shared" si="11"/>
        <v>0.7</v>
      </c>
      <c r="D106" s="12">
        <f t="shared" si="12"/>
        <v>0.52038557540671615</v>
      </c>
      <c r="E106" s="12">
        <f t="shared" si="13"/>
        <v>0.66834701786604489</v>
      </c>
      <c r="F106" s="12">
        <f t="shared" si="14"/>
        <v>0.65355087362011188</v>
      </c>
      <c r="G106" s="12">
        <f t="shared" si="15"/>
        <v>0.7896754006826936</v>
      </c>
      <c r="H106" s="11">
        <f t="shared" si="16"/>
        <v>1.1398072122966418</v>
      </c>
      <c r="I106" s="12">
        <f t="shared" si="9"/>
        <v>1.1397908918248194</v>
      </c>
      <c r="J106" s="71">
        <f t="shared" si="17"/>
        <v>1.6320471822428573E-5</v>
      </c>
    </row>
    <row r="107" spans="2:10" x14ac:dyDescent="0.25">
      <c r="B107" s="11">
        <f t="shared" si="10"/>
        <v>8</v>
      </c>
      <c r="C107" s="11">
        <f t="shared" si="11"/>
        <v>0.79999999999999993</v>
      </c>
      <c r="D107" s="12">
        <f t="shared" si="12"/>
        <v>0.78859035010465872</v>
      </c>
      <c r="E107" s="12">
        <f t="shared" si="13"/>
        <v>0.90973131509419281</v>
      </c>
      <c r="F107" s="12">
        <f t="shared" si="14"/>
        <v>0.89761721859523957</v>
      </c>
      <c r="G107" s="12">
        <f t="shared" si="15"/>
        <v>1.0090669063856108</v>
      </c>
      <c r="H107" s="11">
        <f t="shared" si="16"/>
        <v>1.2057048249476705</v>
      </c>
      <c r="I107" s="12">
        <f t="shared" si="9"/>
        <v>1.2056895539839663</v>
      </c>
      <c r="J107" s="71">
        <f t="shared" si="17"/>
        <v>1.5270963704239193E-5</v>
      </c>
    </row>
    <row r="108" spans="2:10" x14ac:dyDescent="0.25">
      <c r="B108" s="11">
        <f t="shared" si="10"/>
        <v>9</v>
      </c>
      <c r="C108" s="11">
        <f t="shared" si="11"/>
        <v>0.89999999999999991</v>
      </c>
      <c r="D108" s="12">
        <f t="shared" si="12"/>
        <v>1.008178539309021</v>
      </c>
      <c r="E108" s="12">
        <f t="shared" si="13"/>
        <v>1.107360685378119</v>
      </c>
      <c r="F108" s="12">
        <f t="shared" si="14"/>
        <v>1.0974424707712092</v>
      </c>
      <c r="G108" s="12">
        <f t="shared" si="15"/>
        <v>1.1886900451547793</v>
      </c>
      <c r="H108" s="11">
        <f t="shared" si="16"/>
        <v>1.2959107303454893</v>
      </c>
      <c r="I108" s="12">
        <f t="shared" si="9"/>
        <v>1.2958966646647596</v>
      </c>
      <c r="J108" s="71">
        <f t="shared" si="17"/>
        <v>1.4065680729702379E-5</v>
      </c>
    </row>
    <row r="109" spans="2:10" x14ac:dyDescent="0.25">
      <c r="B109" s="11">
        <f t="shared" si="10"/>
        <v>10</v>
      </c>
      <c r="C109" s="72">
        <f t="shared" si="11"/>
        <v>0.99999999999999989</v>
      </c>
      <c r="D109" s="12">
        <f t="shared" si="12"/>
        <v>1.1879627094169392</v>
      </c>
      <c r="E109" s="12">
        <f t="shared" si="13"/>
        <v>1.2691664384752448</v>
      </c>
      <c r="F109" s="12">
        <f t="shared" si="14"/>
        <v>1.2610460655694142</v>
      </c>
      <c r="G109" s="12">
        <f t="shared" si="15"/>
        <v>1.3357534963030564</v>
      </c>
      <c r="H109" s="43">
        <f t="shared" si="16"/>
        <v>1.4060186452915302</v>
      </c>
      <c r="I109" s="12">
        <f t="shared" si="9"/>
        <v>1.406005849709838</v>
      </c>
      <c r="J109" s="71">
        <f t="shared" si="17"/>
        <v>1.2795581692204294E-5</v>
      </c>
    </row>
    <row r="111" spans="2:10" x14ac:dyDescent="0.25">
      <c r="C111" t="s">
        <v>139</v>
      </c>
    </row>
    <row r="112" spans="2:10" x14ac:dyDescent="0.25">
      <c r="D112" t="s">
        <v>140</v>
      </c>
    </row>
    <row r="113" spans="2:4" x14ac:dyDescent="0.25">
      <c r="D113" t="s">
        <v>141</v>
      </c>
    </row>
    <row r="114" spans="2:4" x14ac:dyDescent="0.25">
      <c r="D114" t="s">
        <v>142</v>
      </c>
    </row>
    <row r="116" spans="2:4" x14ac:dyDescent="0.25">
      <c r="C116" s="89" t="s">
        <v>150</v>
      </c>
      <c r="D116" s="89">
        <f>H109</f>
        <v>1.4060186452915302</v>
      </c>
    </row>
    <row r="120" spans="2:4" x14ac:dyDescent="0.25">
      <c r="B120" t="s">
        <v>278</v>
      </c>
    </row>
    <row r="153" spans="2:2" x14ac:dyDescent="0.25">
      <c r="B153" t="s">
        <v>279</v>
      </c>
    </row>
    <row r="155" spans="2:2" x14ac:dyDescent="0.25">
      <c r="B155" t="s">
        <v>136</v>
      </c>
    </row>
  </sheetData>
  <mergeCells count="3">
    <mergeCell ref="B57:F57"/>
    <mergeCell ref="B74:G74"/>
    <mergeCell ref="B97:J9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2B456-C182-4313-B45D-34D54E1143C7}">
  <sheetPr codeName="Sheet6"/>
  <dimension ref="A1:P929"/>
  <sheetViews>
    <sheetView zoomScaleNormal="100" workbookViewId="0">
      <selection activeCell="Q25" sqref="Q25"/>
    </sheetView>
  </sheetViews>
  <sheetFormatPr defaultRowHeight="15" x14ac:dyDescent="0.25"/>
  <cols>
    <col min="2" max="2" width="17.42578125" customWidth="1"/>
    <col min="5" max="5" width="12.42578125" customWidth="1"/>
    <col min="6" max="6" width="13.28515625" customWidth="1"/>
    <col min="7" max="7" width="14.85546875" customWidth="1"/>
    <col min="9" max="11" width="11.85546875" customWidth="1"/>
    <col min="12" max="12" width="8.85546875" customWidth="1"/>
  </cols>
  <sheetData>
    <row r="1" spans="1:16" ht="18.75" x14ac:dyDescent="0.3">
      <c r="A1" s="48" t="s">
        <v>143</v>
      </c>
    </row>
    <row r="3" spans="1:16" x14ac:dyDescent="0.25">
      <c r="L3" t="s">
        <v>167</v>
      </c>
    </row>
    <row r="4" spans="1:16" x14ac:dyDescent="0.25">
      <c r="M4" t="s">
        <v>168</v>
      </c>
    </row>
    <row r="5" spans="1:16" x14ac:dyDescent="0.25">
      <c r="M5" t="s">
        <v>169</v>
      </c>
    </row>
    <row r="6" spans="1:16" x14ac:dyDescent="0.25">
      <c r="N6" t="s">
        <v>170</v>
      </c>
    </row>
    <row r="7" spans="1:16" x14ac:dyDescent="0.25">
      <c r="O7" t="s">
        <v>171</v>
      </c>
    </row>
    <row r="8" spans="1:16" x14ac:dyDescent="0.25">
      <c r="P8" t="s">
        <v>172</v>
      </c>
    </row>
    <row r="9" spans="1:16" x14ac:dyDescent="0.25">
      <c r="P9" t="s">
        <v>173</v>
      </c>
    </row>
    <row r="10" spans="1:16" x14ac:dyDescent="0.25">
      <c r="O10" t="s">
        <v>174</v>
      </c>
    </row>
    <row r="11" spans="1:16" x14ac:dyDescent="0.25">
      <c r="M11" t="s">
        <v>175</v>
      </c>
    </row>
    <row r="12" spans="1:16" x14ac:dyDescent="0.25">
      <c r="N12" t="s">
        <v>176</v>
      </c>
    </row>
    <row r="13" spans="1:16" x14ac:dyDescent="0.25">
      <c r="N13" t="s">
        <v>178</v>
      </c>
    </row>
    <row r="14" spans="1:16" x14ac:dyDescent="0.25">
      <c r="M14" t="s">
        <v>177</v>
      </c>
    </row>
    <row r="15" spans="1:16" x14ac:dyDescent="0.25">
      <c r="M15" t="s">
        <v>179</v>
      </c>
    </row>
    <row r="17" spans="1:14" x14ac:dyDescent="0.25">
      <c r="M17" t="s">
        <v>282</v>
      </c>
    </row>
    <row r="18" spans="1:14" x14ac:dyDescent="0.25">
      <c r="N18" t="s">
        <v>180</v>
      </c>
    </row>
    <row r="24" spans="1:14" x14ac:dyDescent="0.25">
      <c r="A24" t="s">
        <v>10</v>
      </c>
    </row>
    <row r="25" spans="1:14" x14ac:dyDescent="0.25">
      <c r="B25" t="s">
        <v>146</v>
      </c>
      <c r="F25" t="s">
        <v>120</v>
      </c>
    </row>
    <row r="29" spans="1:14" x14ac:dyDescent="0.25">
      <c r="F29" t="s">
        <v>148</v>
      </c>
    </row>
    <row r="30" spans="1:14" ht="24.75" customHeight="1" x14ac:dyDescent="0.25"/>
    <row r="31" spans="1:14" x14ac:dyDescent="0.25">
      <c r="B31" t="s">
        <v>147</v>
      </c>
    </row>
    <row r="35" spans="2:6" x14ac:dyDescent="0.25">
      <c r="B35" t="s">
        <v>149</v>
      </c>
    </row>
    <row r="36" spans="2:6" x14ac:dyDescent="0.25">
      <c r="C36" t="s">
        <v>151</v>
      </c>
    </row>
    <row r="37" spans="2:6" x14ac:dyDescent="0.25">
      <c r="D37" t="s">
        <v>156</v>
      </c>
    </row>
    <row r="38" spans="2:6" x14ac:dyDescent="0.25">
      <c r="E38" t="s">
        <v>153</v>
      </c>
    </row>
    <row r="39" spans="2:6" x14ac:dyDescent="0.25">
      <c r="E39" t="s">
        <v>154</v>
      </c>
    </row>
    <row r="40" spans="2:6" x14ac:dyDescent="0.25">
      <c r="E40" t="s">
        <v>155</v>
      </c>
    </row>
    <row r="41" spans="2:6" x14ac:dyDescent="0.25">
      <c r="D41" t="s">
        <v>161</v>
      </c>
    </row>
    <row r="42" spans="2:6" x14ac:dyDescent="0.25">
      <c r="D42" t="s">
        <v>157</v>
      </c>
    </row>
    <row r="43" spans="2:6" x14ac:dyDescent="0.25">
      <c r="D43" t="s">
        <v>162</v>
      </c>
    </row>
    <row r="47" spans="2:6" ht="18.75" customHeight="1" x14ac:dyDescent="0.25">
      <c r="B47" s="11"/>
      <c r="C47" s="80"/>
      <c r="D47" s="83" t="s">
        <v>158</v>
      </c>
      <c r="F47" s="4"/>
    </row>
    <row r="48" spans="2:6" ht="18.75" customHeight="1" x14ac:dyDescent="0.25">
      <c r="B48" s="11"/>
      <c r="C48" s="80"/>
      <c r="D48" s="83" t="s">
        <v>159</v>
      </c>
      <c r="F48" s="4"/>
    </row>
    <row r="49" spans="2:11" ht="18.75" customHeight="1" x14ac:dyDescent="0.25">
      <c r="B49" s="11"/>
      <c r="C49" s="80"/>
      <c r="D49" s="83" t="s">
        <v>160</v>
      </c>
      <c r="F49" s="4"/>
    </row>
    <row r="50" spans="2:11" ht="18.75" customHeight="1" x14ac:dyDescent="0.25">
      <c r="B50" s="11"/>
      <c r="C50" s="80"/>
      <c r="D50" s="83">
        <v>2</v>
      </c>
      <c r="F50" s="4"/>
    </row>
    <row r="51" spans="2:11" ht="15.75" thickBot="1" x14ac:dyDescent="0.3">
      <c r="C51" s="117" t="s">
        <v>120</v>
      </c>
      <c r="D51" s="117"/>
      <c r="E51" s="117"/>
      <c r="F51" s="117"/>
      <c r="G51" s="117"/>
      <c r="I51" s="118" t="s">
        <v>152</v>
      </c>
      <c r="J51" s="119"/>
      <c r="K51" s="120"/>
    </row>
    <row r="52" spans="2:11" ht="24" customHeight="1" thickTop="1" thickBot="1" x14ac:dyDescent="0.3">
      <c r="C52" s="66"/>
      <c r="D52" s="66"/>
      <c r="E52" s="66"/>
      <c r="F52" s="67" t="s">
        <v>114</v>
      </c>
      <c r="G52" s="66"/>
      <c r="I52" s="73"/>
      <c r="J52" s="73"/>
      <c r="K52" s="73"/>
    </row>
    <row r="53" spans="2:11" ht="15.75" thickTop="1" x14ac:dyDescent="0.25">
      <c r="C53" s="12"/>
      <c r="D53" s="74"/>
      <c r="E53" s="12"/>
      <c r="F53" s="12"/>
      <c r="G53" s="12"/>
      <c r="I53" s="11"/>
      <c r="J53" s="72"/>
      <c r="K53" s="43"/>
    </row>
    <row r="54" spans="2:11" x14ac:dyDescent="0.25">
      <c r="C54" s="11"/>
      <c r="D54" s="57"/>
      <c r="E54" s="81"/>
      <c r="F54" s="82"/>
      <c r="G54" s="82"/>
    </row>
    <row r="55" spans="2:11" x14ac:dyDescent="0.25">
      <c r="C55" s="11"/>
      <c r="D55" s="57"/>
      <c r="E55" s="81"/>
      <c r="F55" s="82"/>
      <c r="G55" s="82"/>
    </row>
    <row r="56" spans="2:11" x14ac:dyDescent="0.25">
      <c r="C56" s="11"/>
      <c r="D56" s="57"/>
      <c r="E56" s="81"/>
      <c r="F56" s="82"/>
      <c r="G56" s="82"/>
    </row>
    <row r="57" spans="2:11" x14ac:dyDescent="0.25">
      <c r="C57" s="11"/>
      <c r="D57" s="57"/>
      <c r="E57" s="81"/>
      <c r="F57" s="82"/>
      <c r="G57" s="82"/>
    </row>
    <row r="58" spans="2:11" x14ac:dyDescent="0.25">
      <c r="C58" s="11"/>
      <c r="D58" s="57"/>
      <c r="E58" s="81"/>
      <c r="F58" s="82"/>
      <c r="G58" s="82"/>
    </row>
    <row r="59" spans="2:11" x14ac:dyDescent="0.25">
      <c r="C59" s="11"/>
      <c r="D59" s="57"/>
      <c r="E59" s="81"/>
      <c r="F59" s="82"/>
      <c r="G59" s="82"/>
    </row>
    <row r="60" spans="2:11" x14ac:dyDescent="0.25">
      <c r="C60" s="11"/>
      <c r="D60" s="57"/>
      <c r="E60" s="81"/>
      <c r="F60" s="82"/>
      <c r="G60" s="82"/>
    </row>
    <row r="61" spans="2:11" x14ac:dyDescent="0.25">
      <c r="C61" s="11"/>
      <c r="D61" s="57"/>
      <c r="E61" s="81"/>
      <c r="F61" s="82"/>
      <c r="G61" s="82"/>
    </row>
    <row r="62" spans="2:11" x14ac:dyDescent="0.25">
      <c r="C62" s="11"/>
      <c r="D62" s="57"/>
      <c r="E62" s="81"/>
      <c r="F62" s="82"/>
      <c r="G62" s="82"/>
    </row>
    <row r="63" spans="2:11" x14ac:dyDescent="0.25">
      <c r="C63" s="11"/>
      <c r="D63" s="57"/>
      <c r="E63" s="81"/>
      <c r="F63" s="82"/>
      <c r="G63" s="82"/>
    </row>
    <row r="64" spans="2:11" x14ac:dyDescent="0.25">
      <c r="C64" s="11"/>
      <c r="D64" s="57"/>
      <c r="E64" s="11"/>
      <c r="F64" s="11"/>
      <c r="G64" s="11"/>
    </row>
    <row r="65" spans="3:7" x14ac:dyDescent="0.25">
      <c r="C65" s="11"/>
      <c r="D65" s="57"/>
      <c r="E65" s="11"/>
      <c r="F65" s="11"/>
      <c r="G65" s="11"/>
    </row>
    <row r="66" spans="3:7" x14ac:dyDescent="0.25">
      <c r="C66" s="11"/>
      <c r="D66" s="57"/>
      <c r="E66" s="11"/>
      <c r="F66" s="11"/>
      <c r="G66" s="11"/>
    </row>
    <row r="67" spans="3:7" x14ac:dyDescent="0.25">
      <c r="C67" s="11"/>
      <c r="D67" s="57"/>
      <c r="E67" s="11"/>
      <c r="F67" s="11"/>
      <c r="G67" s="11"/>
    </row>
    <row r="68" spans="3:7" x14ac:dyDescent="0.25">
      <c r="D68" s="75"/>
    </row>
    <row r="69" spans="3:7" x14ac:dyDescent="0.25">
      <c r="D69" s="75"/>
    </row>
    <row r="70" spans="3:7" x14ac:dyDescent="0.25">
      <c r="D70" s="75"/>
    </row>
    <row r="71" spans="3:7" x14ac:dyDescent="0.25">
      <c r="D71" s="75"/>
    </row>
    <row r="72" spans="3:7" x14ac:dyDescent="0.25">
      <c r="D72" s="75"/>
    </row>
    <row r="73" spans="3:7" x14ac:dyDescent="0.25">
      <c r="D73" s="75"/>
    </row>
    <row r="74" spans="3:7" x14ac:dyDescent="0.25">
      <c r="D74" s="75"/>
    </row>
    <row r="75" spans="3:7" x14ac:dyDescent="0.25">
      <c r="D75" s="75"/>
    </row>
    <row r="76" spans="3:7" x14ac:dyDescent="0.25">
      <c r="D76" s="75"/>
    </row>
    <row r="77" spans="3:7" x14ac:dyDescent="0.25">
      <c r="D77" s="75"/>
    </row>
    <row r="78" spans="3:7" x14ac:dyDescent="0.25">
      <c r="D78" s="75"/>
    </row>
    <row r="79" spans="3:7" x14ac:dyDescent="0.25">
      <c r="D79" s="75"/>
    </row>
    <row r="80" spans="3:7" x14ac:dyDescent="0.25">
      <c r="D80" s="75"/>
    </row>
    <row r="81" spans="4:4" x14ac:dyDescent="0.25">
      <c r="D81" s="75"/>
    </row>
    <row r="82" spans="4:4" x14ac:dyDescent="0.25">
      <c r="D82" s="75"/>
    </row>
    <row r="83" spans="4:4" x14ac:dyDescent="0.25">
      <c r="D83" s="75"/>
    </row>
    <row r="84" spans="4:4" x14ac:dyDescent="0.25">
      <c r="D84" s="75"/>
    </row>
    <row r="85" spans="4:4" x14ac:dyDescent="0.25">
      <c r="D85" s="75"/>
    </row>
    <row r="86" spans="4:4" x14ac:dyDescent="0.25">
      <c r="D86" s="75"/>
    </row>
    <row r="87" spans="4:4" x14ac:dyDescent="0.25">
      <c r="D87" s="75"/>
    </row>
    <row r="88" spans="4:4" x14ac:dyDescent="0.25">
      <c r="D88" s="75"/>
    </row>
    <row r="89" spans="4:4" x14ac:dyDescent="0.25">
      <c r="D89" s="75"/>
    </row>
    <row r="90" spans="4:4" x14ac:dyDescent="0.25">
      <c r="D90" s="75"/>
    </row>
    <row r="91" spans="4:4" x14ac:dyDescent="0.25">
      <c r="D91" s="75"/>
    </row>
    <row r="92" spans="4:4" x14ac:dyDescent="0.25">
      <c r="D92" s="75"/>
    </row>
    <row r="93" spans="4:4" x14ac:dyDescent="0.25">
      <c r="D93" s="75"/>
    </row>
    <row r="94" spans="4:4" x14ac:dyDescent="0.25">
      <c r="D94" s="75"/>
    </row>
    <row r="95" spans="4:4" x14ac:dyDescent="0.25">
      <c r="D95" s="75"/>
    </row>
    <row r="96" spans="4:4" x14ac:dyDescent="0.25">
      <c r="D96" s="75"/>
    </row>
    <row r="97" spans="4:4" x14ac:dyDescent="0.25">
      <c r="D97" s="75"/>
    </row>
    <row r="98" spans="4:4" x14ac:dyDescent="0.25">
      <c r="D98" s="75"/>
    </row>
    <row r="99" spans="4:4" x14ac:dyDescent="0.25">
      <c r="D99" s="75"/>
    </row>
    <row r="100" spans="4:4" x14ac:dyDescent="0.25">
      <c r="D100" s="75"/>
    </row>
    <row r="101" spans="4:4" x14ac:dyDescent="0.25">
      <c r="D101" s="75"/>
    </row>
    <row r="102" spans="4:4" x14ac:dyDescent="0.25">
      <c r="D102" s="75"/>
    </row>
    <row r="103" spans="4:4" x14ac:dyDescent="0.25">
      <c r="D103" s="75"/>
    </row>
    <row r="104" spans="4:4" x14ac:dyDescent="0.25">
      <c r="D104" s="75"/>
    </row>
    <row r="105" spans="4:4" x14ac:dyDescent="0.25">
      <c r="D105" s="75"/>
    </row>
    <row r="106" spans="4:4" x14ac:dyDescent="0.25">
      <c r="D106" s="75"/>
    </row>
    <row r="107" spans="4:4" x14ac:dyDescent="0.25">
      <c r="D107" s="75"/>
    </row>
    <row r="108" spans="4:4" x14ac:dyDescent="0.25">
      <c r="D108" s="75"/>
    </row>
    <row r="109" spans="4:4" x14ac:dyDescent="0.25">
      <c r="D109" s="75"/>
    </row>
    <row r="110" spans="4:4" x14ac:dyDescent="0.25">
      <c r="D110" s="75"/>
    </row>
    <row r="111" spans="4:4" x14ac:dyDescent="0.25">
      <c r="D111" s="75"/>
    </row>
    <row r="112" spans="4:4" x14ac:dyDescent="0.25">
      <c r="D112" s="75"/>
    </row>
    <row r="113" spans="4:4" x14ac:dyDescent="0.25">
      <c r="D113" s="75"/>
    </row>
    <row r="114" spans="4:4" x14ac:dyDescent="0.25">
      <c r="D114" s="75"/>
    </row>
    <row r="115" spans="4:4" x14ac:dyDescent="0.25">
      <c r="D115" s="75"/>
    </row>
    <row r="116" spans="4:4" x14ac:dyDescent="0.25">
      <c r="D116" s="75"/>
    </row>
    <row r="117" spans="4:4" x14ac:dyDescent="0.25">
      <c r="D117" s="75"/>
    </row>
    <row r="118" spans="4:4" x14ac:dyDescent="0.25">
      <c r="D118" s="75"/>
    </row>
    <row r="119" spans="4:4" x14ac:dyDescent="0.25">
      <c r="D119" s="75"/>
    </row>
    <row r="120" spans="4:4" x14ac:dyDescent="0.25">
      <c r="D120" s="75"/>
    </row>
    <row r="121" spans="4:4" x14ac:dyDescent="0.25">
      <c r="D121" s="75"/>
    </row>
    <row r="122" spans="4:4" x14ac:dyDescent="0.25">
      <c r="D122" s="75"/>
    </row>
    <row r="123" spans="4:4" x14ac:dyDescent="0.25">
      <c r="D123" s="75"/>
    </row>
    <row r="124" spans="4:4" x14ac:dyDescent="0.25">
      <c r="D124" s="75"/>
    </row>
    <row r="125" spans="4:4" x14ac:dyDescent="0.25">
      <c r="D125" s="75"/>
    </row>
    <row r="126" spans="4:4" x14ac:dyDescent="0.25">
      <c r="D126" s="75"/>
    </row>
    <row r="127" spans="4:4" x14ac:dyDescent="0.25">
      <c r="D127" s="75"/>
    </row>
    <row r="128" spans="4:4" x14ac:dyDescent="0.25">
      <c r="D128" s="75"/>
    </row>
    <row r="129" spans="4:4" x14ac:dyDescent="0.25">
      <c r="D129" s="75"/>
    </row>
    <row r="130" spans="4:4" x14ac:dyDescent="0.25">
      <c r="D130" s="75"/>
    </row>
    <row r="131" spans="4:4" x14ac:dyDescent="0.25">
      <c r="D131" s="75"/>
    </row>
    <row r="132" spans="4:4" x14ac:dyDescent="0.25">
      <c r="D132" s="75"/>
    </row>
    <row r="133" spans="4:4" x14ac:dyDescent="0.25">
      <c r="D133" s="75"/>
    </row>
    <row r="134" spans="4:4" x14ac:dyDescent="0.25">
      <c r="D134" s="75"/>
    </row>
    <row r="135" spans="4:4" x14ac:dyDescent="0.25">
      <c r="D135" s="75"/>
    </row>
    <row r="136" spans="4:4" x14ac:dyDescent="0.25">
      <c r="D136" s="75"/>
    </row>
    <row r="137" spans="4:4" x14ac:dyDescent="0.25">
      <c r="D137" s="75"/>
    </row>
    <row r="138" spans="4:4" x14ac:dyDescent="0.25">
      <c r="D138" s="75"/>
    </row>
    <row r="139" spans="4:4" x14ac:dyDescent="0.25">
      <c r="D139" s="75"/>
    </row>
    <row r="140" spans="4:4" x14ac:dyDescent="0.25">
      <c r="D140" s="75"/>
    </row>
    <row r="141" spans="4:4" x14ac:dyDescent="0.25">
      <c r="D141" s="75"/>
    </row>
    <row r="142" spans="4:4" x14ac:dyDescent="0.25">
      <c r="D142" s="75"/>
    </row>
    <row r="143" spans="4:4" x14ac:dyDescent="0.25">
      <c r="D143" s="75"/>
    </row>
    <row r="144" spans="4:4" x14ac:dyDescent="0.25">
      <c r="D144" s="75"/>
    </row>
    <row r="145" spans="4:4" x14ac:dyDescent="0.25">
      <c r="D145" s="75"/>
    </row>
    <row r="146" spans="4:4" x14ac:dyDescent="0.25">
      <c r="D146" s="75"/>
    </row>
    <row r="147" spans="4:4" x14ac:dyDescent="0.25">
      <c r="D147" s="75"/>
    </row>
    <row r="148" spans="4:4" x14ac:dyDescent="0.25">
      <c r="D148" s="75"/>
    </row>
    <row r="149" spans="4:4" x14ac:dyDescent="0.25">
      <c r="D149" s="75"/>
    </row>
    <row r="150" spans="4:4" x14ac:dyDescent="0.25">
      <c r="D150" s="75"/>
    </row>
    <row r="151" spans="4:4" x14ac:dyDescent="0.25">
      <c r="D151" s="75"/>
    </row>
    <row r="152" spans="4:4" x14ac:dyDescent="0.25">
      <c r="D152" s="75"/>
    </row>
    <row r="153" spans="4:4" x14ac:dyDescent="0.25">
      <c r="D153" s="75"/>
    </row>
    <row r="154" spans="4:4" x14ac:dyDescent="0.25">
      <c r="D154" s="75"/>
    </row>
    <row r="155" spans="4:4" x14ac:dyDescent="0.25">
      <c r="D155" s="75"/>
    </row>
    <row r="156" spans="4:4" x14ac:dyDescent="0.25">
      <c r="D156" s="75"/>
    </row>
    <row r="157" spans="4:4" x14ac:dyDescent="0.25">
      <c r="D157" s="75"/>
    </row>
    <row r="158" spans="4:4" x14ac:dyDescent="0.25">
      <c r="D158" s="75"/>
    </row>
    <row r="159" spans="4:4" x14ac:dyDescent="0.25">
      <c r="D159" s="75"/>
    </row>
    <row r="160" spans="4:4" x14ac:dyDescent="0.25">
      <c r="D160" s="75"/>
    </row>
    <row r="161" spans="4:4" x14ac:dyDescent="0.25">
      <c r="D161" s="75"/>
    </row>
    <row r="162" spans="4:4" x14ac:dyDescent="0.25">
      <c r="D162" s="75"/>
    </row>
    <row r="163" spans="4:4" x14ac:dyDescent="0.25">
      <c r="D163" s="75"/>
    </row>
    <row r="164" spans="4:4" x14ac:dyDescent="0.25">
      <c r="D164" s="75"/>
    </row>
    <row r="165" spans="4:4" x14ac:dyDescent="0.25">
      <c r="D165" s="75"/>
    </row>
    <row r="166" spans="4:4" x14ac:dyDescent="0.25">
      <c r="D166" s="75"/>
    </row>
    <row r="167" spans="4:4" x14ac:dyDescent="0.25">
      <c r="D167" s="75"/>
    </row>
    <row r="168" spans="4:4" x14ac:dyDescent="0.25">
      <c r="D168" s="75"/>
    </row>
    <row r="169" spans="4:4" x14ac:dyDescent="0.25">
      <c r="D169" s="75"/>
    </row>
    <row r="170" spans="4:4" x14ac:dyDescent="0.25">
      <c r="D170" s="75"/>
    </row>
    <row r="171" spans="4:4" x14ac:dyDescent="0.25">
      <c r="D171" s="75"/>
    </row>
    <row r="172" spans="4:4" x14ac:dyDescent="0.25">
      <c r="D172" s="75"/>
    </row>
    <row r="173" spans="4:4" x14ac:dyDescent="0.25">
      <c r="D173" s="75"/>
    </row>
    <row r="174" spans="4:4" x14ac:dyDescent="0.25">
      <c r="D174" s="75"/>
    </row>
    <row r="175" spans="4:4" x14ac:dyDescent="0.25">
      <c r="D175" s="75"/>
    </row>
    <row r="176" spans="4:4" x14ac:dyDescent="0.25">
      <c r="D176" s="75"/>
    </row>
    <row r="177" spans="4:4" x14ac:dyDescent="0.25">
      <c r="D177" s="75"/>
    </row>
    <row r="178" spans="4:4" x14ac:dyDescent="0.25">
      <c r="D178" s="75"/>
    </row>
    <row r="179" spans="4:4" x14ac:dyDescent="0.25">
      <c r="D179" s="75"/>
    </row>
    <row r="180" spans="4:4" x14ac:dyDescent="0.25">
      <c r="D180" s="75"/>
    </row>
    <row r="181" spans="4:4" x14ac:dyDescent="0.25">
      <c r="D181" s="75"/>
    </row>
    <row r="182" spans="4:4" x14ac:dyDescent="0.25">
      <c r="D182" s="75"/>
    </row>
    <row r="183" spans="4:4" x14ac:dyDescent="0.25">
      <c r="D183" s="75"/>
    </row>
    <row r="184" spans="4:4" x14ac:dyDescent="0.25">
      <c r="D184" s="75"/>
    </row>
    <row r="185" spans="4:4" x14ac:dyDescent="0.25">
      <c r="D185" s="75"/>
    </row>
    <row r="186" spans="4:4" x14ac:dyDescent="0.25">
      <c r="D186" s="75"/>
    </row>
    <row r="187" spans="4:4" x14ac:dyDescent="0.25">
      <c r="D187" s="75"/>
    </row>
    <row r="188" spans="4:4" x14ac:dyDescent="0.25">
      <c r="D188" s="75"/>
    </row>
    <row r="189" spans="4:4" x14ac:dyDescent="0.25">
      <c r="D189" s="75"/>
    </row>
    <row r="190" spans="4:4" x14ac:dyDescent="0.25">
      <c r="D190" s="75"/>
    </row>
    <row r="191" spans="4:4" x14ac:dyDescent="0.25">
      <c r="D191" s="75"/>
    </row>
    <row r="192" spans="4:4" x14ac:dyDescent="0.25">
      <c r="D192" s="75"/>
    </row>
    <row r="193" spans="4:4" x14ac:dyDescent="0.25">
      <c r="D193" s="75"/>
    </row>
    <row r="194" spans="4:4" x14ac:dyDescent="0.25">
      <c r="D194" s="75"/>
    </row>
    <row r="195" spans="4:4" x14ac:dyDescent="0.25">
      <c r="D195" s="75"/>
    </row>
    <row r="196" spans="4:4" x14ac:dyDescent="0.25">
      <c r="D196" s="75"/>
    </row>
    <row r="197" spans="4:4" x14ac:dyDescent="0.25">
      <c r="D197" s="75"/>
    </row>
    <row r="198" spans="4:4" x14ac:dyDescent="0.25">
      <c r="D198" s="75"/>
    </row>
    <row r="199" spans="4:4" x14ac:dyDescent="0.25">
      <c r="D199" s="75"/>
    </row>
    <row r="200" spans="4:4" x14ac:dyDescent="0.25">
      <c r="D200" s="75"/>
    </row>
    <row r="201" spans="4:4" x14ac:dyDescent="0.25">
      <c r="D201" s="75"/>
    </row>
    <row r="202" spans="4:4" x14ac:dyDescent="0.25">
      <c r="D202" s="75"/>
    </row>
    <row r="203" spans="4:4" x14ac:dyDescent="0.25">
      <c r="D203" s="75"/>
    </row>
    <row r="204" spans="4:4" x14ac:dyDescent="0.25">
      <c r="D204" s="75"/>
    </row>
    <row r="205" spans="4:4" x14ac:dyDescent="0.25">
      <c r="D205" s="75"/>
    </row>
    <row r="206" spans="4:4" x14ac:dyDescent="0.25">
      <c r="D206" s="75"/>
    </row>
    <row r="207" spans="4:4" x14ac:dyDescent="0.25">
      <c r="D207" s="75"/>
    </row>
    <row r="208" spans="4:4" x14ac:dyDescent="0.25">
      <c r="D208" s="75"/>
    </row>
    <row r="209" spans="4:4" x14ac:dyDescent="0.25">
      <c r="D209" s="75"/>
    </row>
    <row r="210" spans="4:4" x14ac:dyDescent="0.25">
      <c r="D210" s="75"/>
    </row>
    <row r="211" spans="4:4" x14ac:dyDescent="0.25">
      <c r="D211" s="75"/>
    </row>
    <row r="212" spans="4:4" x14ac:dyDescent="0.25">
      <c r="D212" s="75"/>
    </row>
    <row r="213" spans="4:4" x14ac:dyDescent="0.25">
      <c r="D213" s="75"/>
    </row>
    <row r="214" spans="4:4" x14ac:dyDescent="0.25">
      <c r="D214" s="75"/>
    </row>
    <row r="215" spans="4:4" x14ac:dyDescent="0.25">
      <c r="D215" s="75"/>
    </row>
    <row r="216" spans="4:4" x14ac:dyDescent="0.25">
      <c r="D216" s="75"/>
    </row>
    <row r="217" spans="4:4" x14ac:dyDescent="0.25">
      <c r="D217" s="75"/>
    </row>
    <row r="218" spans="4:4" x14ac:dyDescent="0.25">
      <c r="D218" s="75"/>
    </row>
    <row r="219" spans="4:4" x14ac:dyDescent="0.25">
      <c r="D219" s="75"/>
    </row>
    <row r="220" spans="4:4" x14ac:dyDescent="0.25">
      <c r="D220" s="75"/>
    </row>
    <row r="221" spans="4:4" x14ac:dyDescent="0.25">
      <c r="D221" s="75"/>
    </row>
    <row r="222" spans="4:4" x14ac:dyDescent="0.25">
      <c r="D222" s="75"/>
    </row>
    <row r="223" spans="4:4" x14ac:dyDescent="0.25">
      <c r="D223" s="75"/>
    </row>
    <row r="224" spans="4:4" x14ac:dyDescent="0.25">
      <c r="D224" s="75"/>
    </row>
    <row r="225" spans="4:4" x14ac:dyDescent="0.25">
      <c r="D225" s="75"/>
    </row>
    <row r="226" spans="4:4" x14ac:dyDescent="0.25">
      <c r="D226" s="75"/>
    </row>
    <row r="227" spans="4:4" x14ac:dyDescent="0.25">
      <c r="D227" s="75"/>
    </row>
    <row r="228" spans="4:4" x14ac:dyDescent="0.25">
      <c r="D228" s="75"/>
    </row>
    <row r="229" spans="4:4" x14ac:dyDescent="0.25">
      <c r="D229" s="75"/>
    </row>
    <row r="230" spans="4:4" x14ac:dyDescent="0.25">
      <c r="D230" s="75"/>
    </row>
    <row r="231" spans="4:4" x14ac:dyDescent="0.25">
      <c r="D231" s="75"/>
    </row>
    <row r="232" spans="4:4" x14ac:dyDescent="0.25">
      <c r="D232" s="75"/>
    </row>
    <row r="233" spans="4:4" x14ac:dyDescent="0.25">
      <c r="D233" s="75"/>
    </row>
    <row r="234" spans="4:4" x14ac:dyDescent="0.25">
      <c r="D234" s="75"/>
    </row>
    <row r="235" spans="4:4" x14ac:dyDescent="0.25">
      <c r="D235" s="75"/>
    </row>
    <row r="236" spans="4:4" x14ac:dyDescent="0.25">
      <c r="D236" s="75"/>
    </row>
    <row r="237" spans="4:4" x14ac:dyDescent="0.25">
      <c r="D237" s="75"/>
    </row>
    <row r="238" spans="4:4" x14ac:dyDescent="0.25">
      <c r="D238" s="75"/>
    </row>
    <row r="239" spans="4:4" x14ac:dyDescent="0.25">
      <c r="D239" s="75"/>
    </row>
    <row r="240" spans="4:4" x14ac:dyDescent="0.25">
      <c r="D240" s="75"/>
    </row>
    <row r="241" spans="4:4" x14ac:dyDescent="0.25">
      <c r="D241" s="75"/>
    </row>
    <row r="242" spans="4:4" x14ac:dyDescent="0.25">
      <c r="D242" s="75"/>
    </row>
    <row r="243" spans="4:4" x14ac:dyDescent="0.25">
      <c r="D243" s="75"/>
    </row>
    <row r="244" spans="4:4" x14ac:dyDescent="0.25">
      <c r="D244" s="75"/>
    </row>
    <row r="245" spans="4:4" x14ac:dyDescent="0.25">
      <c r="D245" s="75"/>
    </row>
    <row r="246" spans="4:4" x14ac:dyDescent="0.25">
      <c r="D246" s="75"/>
    </row>
    <row r="247" spans="4:4" x14ac:dyDescent="0.25">
      <c r="D247" s="75"/>
    </row>
    <row r="248" spans="4:4" x14ac:dyDescent="0.25">
      <c r="D248" s="75"/>
    </row>
    <row r="249" spans="4:4" x14ac:dyDescent="0.25">
      <c r="D249" s="75"/>
    </row>
    <row r="250" spans="4:4" x14ac:dyDescent="0.25">
      <c r="D250" s="75"/>
    </row>
    <row r="251" spans="4:4" x14ac:dyDescent="0.25">
      <c r="D251" s="75"/>
    </row>
    <row r="252" spans="4:4" x14ac:dyDescent="0.25">
      <c r="D252" s="75"/>
    </row>
    <row r="253" spans="4:4" x14ac:dyDescent="0.25">
      <c r="D253" s="75"/>
    </row>
    <row r="254" spans="4:4" x14ac:dyDescent="0.25">
      <c r="D254" s="75"/>
    </row>
    <row r="255" spans="4:4" x14ac:dyDescent="0.25">
      <c r="D255" s="75"/>
    </row>
    <row r="256" spans="4:4" x14ac:dyDescent="0.25">
      <c r="D256" s="75"/>
    </row>
    <row r="257" spans="4:4" x14ac:dyDescent="0.25">
      <c r="D257" s="75"/>
    </row>
    <row r="258" spans="4:4" x14ac:dyDescent="0.25">
      <c r="D258" s="75"/>
    </row>
    <row r="259" spans="4:4" x14ac:dyDescent="0.25">
      <c r="D259" s="75"/>
    </row>
    <row r="260" spans="4:4" x14ac:dyDescent="0.25">
      <c r="D260" s="75"/>
    </row>
    <row r="261" spans="4:4" x14ac:dyDescent="0.25">
      <c r="D261" s="75"/>
    </row>
    <row r="262" spans="4:4" x14ac:dyDescent="0.25">
      <c r="D262" s="75"/>
    </row>
    <row r="263" spans="4:4" x14ac:dyDescent="0.25">
      <c r="D263" s="75"/>
    </row>
    <row r="264" spans="4:4" x14ac:dyDescent="0.25">
      <c r="D264" s="75"/>
    </row>
    <row r="265" spans="4:4" x14ac:dyDescent="0.25">
      <c r="D265" s="75"/>
    </row>
    <row r="266" spans="4:4" x14ac:dyDescent="0.25">
      <c r="D266" s="75"/>
    </row>
    <row r="267" spans="4:4" x14ac:dyDescent="0.25">
      <c r="D267" s="75"/>
    </row>
    <row r="268" spans="4:4" x14ac:dyDescent="0.25">
      <c r="D268" s="75"/>
    </row>
    <row r="269" spans="4:4" x14ac:dyDescent="0.25">
      <c r="D269" s="75"/>
    </row>
    <row r="270" spans="4:4" x14ac:dyDescent="0.25">
      <c r="D270" s="75"/>
    </row>
    <row r="271" spans="4:4" x14ac:dyDescent="0.25">
      <c r="D271" s="75"/>
    </row>
    <row r="272" spans="4:4" x14ac:dyDescent="0.25">
      <c r="D272" s="75"/>
    </row>
    <row r="273" spans="4:4" x14ac:dyDescent="0.25">
      <c r="D273" s="75"/>
    </row>
    <row r="274" spans="4:4" x14ac:dyDescent="0.25">
      <c r="D274" s="75"/>
    </row>
    <row r="275" spans="4:4" x14ac:dyDescent="0.25">
      <c r="D275" s="75"/>
    </row>
    <row r="276" spans="4:4" x14ac:dyDescent="0.25">
      <c r="D276" s="75"/>
    </row>
    <row r="277" spans="4:4" x14ac:dyDescent="0.25">
      <c r="D277" s="75"/>
    </row>
    <row r="278" spans="4:4" x14ac:dyDescent="0.25">
      <c r="D278" s="75"/>
    </row>
    <row r="279" spans="4:4" x14ac:dyDescent="0.25">
      <c r="D279" s="75"/>
    </row>
    <row r="280" spans="4:4" x14ac:dyDescent="0.25">
      <c r="D280" s="75"/>
    </row>
    <row r="281" spans="4:4" x14ac:dyDescent="0.25">
      <c r="D281" s="75"/>
    </row>
    <row r="282" spans="4:4" x14ac:dyDescent="0.25">
      <c r="D282" s="75"/>
    </row>
    <row r="283" spans="4:4" x14ac:dyDescent="0.25">
      <c r="D283" s="75"/>
    </row>
    <row r="284" spans="4:4" x14ac:dyDescent="0.25">
      <c r="D284" s="75"/>
    </row>
    <row r="285" spans="4:4" x14ac:dyDescent="0.25">
      <c r="D285" s="75"/>
    </row>
    <row r="286" spans="4:4" x14ac:dyDescent="0.25">
      <c r="D286" s="75"/>
    </row>
    <row r="287" spans="4:4" x14ac:dyDescent="0.25">
      <c r="D287" s="75"/>
    </row>
    <row r="288" spans="4:4" x14ac:dyDescent="0.25">
      <c r="D288" s="75"/>
    </row>
    <row r="289" spans="4:4" x14ac:dyDescent="0.25">
      <c r="D289" s="75"/>
    </row>
    <row r="290" spans="4:4" x14ac:dyDescent="0.25">
      <c r="D290" s="75"/>
    </row>
    <row r="291" spans="4:4" x14ac:dyDescent="0.25">
      <c r="D291" s="75"/>
    </row>
    <row r="292" spans="4:4" x14ac:dyDescent="0.25">
      <c r="D292" s="75"/>
    </row>
    <row r="293" spans="4:4" x14ac:dyDescent="0.25">
      <c r="D293" s="75"/>
    </row>
    <row r="294" spans="4:4" x14ac:dyDescent="0.25">
      <c r="D294" s="75"/>
    </row>
    <row r="295" spans="4:4" x14ac:dyDescent="0.25">
      <c r="D295" s="75"/>
    </row>
    <row r="296" spans="4:4" x14ac:dyDescent="0.25">
      <c r="D296" s="75"/>
    </row>
    <row r="297" spans="4:4" x14ac:dyDescent="0.25">
      <c r="D297" s="75"/>
    </row>
    <row r="298" spans="4:4" x14ac:dyDescent="0.25">
      <c r="D298" s="75"/>
    </row>
    <row r="299" spans="4:4" x14ac:dyDescent="0.25">
      <c r="D299" s="75"/>
    </row>
    <row r="300" spans="4:4" x14ac:dyDescent="0.25">
      <c r="D300" s="75"/>
    </row>
    <row r="301" spans="4:4" x14ac:dyDescent="0.25">
      <c r="D301" s="75"/>
    </row>
    <row r="302" spans="4:4" x14ac:dyDescent="0.25">
      <c r="D302" s="75"/>
    </row>
    <row r="303" spans="4:4" x14ac:dyDescent="0.25">
      <c r="D303" s="75"/>
    </row>
    <row r="304" spans="4:4" x14ac:dyDescent="0.25">
      <c r="D304" s="75"/>
    </row>
    <row r="305" spans="4:4" x14ac:dyDescent="0.25">
      <c r="D305" s="75"/>
    </row>
    <row r="306" spans="4:4" x14ac:dyDescent="0.25">
      <c r="D306" s="75"/>
    </row>
    <row r="307" spans="4:4" x14ac:dyDescent="0.25">
      <c r="D307" s="75"/>
    </row>
    <row r="308" spans="4:4" x14ac:dyDescent="0.25">
      <c r="D308" s="75"/>
    </row>
    <row r="309" spans="4:4" x14ac:dyDescent="0.25">
      <c r="D309" s="75"/>
    </row>
    <row r="310" spans="4:4" x14ac:dyDescent="0.25">
      <c r="D310" s="75"/>
    </row>
    <row r="311" spans="4:4" x14ac:dyDescent="0.25">
      <c r="D311" s="75"/>
    </row>
    <row r="312" spans="4:4" x14ac:dyDescent="0.25">
      <c r="D312" s="75"/>
    </row>
    <row r="313" spans="4:4" x14ac:dyDescent="0.25">
      <c r="D313" s="75"/>
    </row>
    <row r="314" spans="4:4" x14ac:dyDescent="0.25">
      <c r="D314" s="75"/>
    </row>
    <row r="315" spans="4:4" x14ac:dyDescent="0.25">
      <c r="D315" s="75"/>
    </row>
    <row r="316" spans="4:4" x14ac:dyDescent="0.25">
      <c r="D316" s="75"/>
    </row>
    <row r="317" spans="4:4" x14ac:dyDescent="0.25">
      <c r="D317" s="75"/>
    </row>
    <row r="318" spans="4:4" x14ac:dyDescent="0.25">
      <c r="D318" s="75"/>
    </row>
    <row r="319" spans="4:4" x14ac:dyDescent="0.25">
      <c r="D319" s="75"/>
    </row>
    <row r="320" spans="4:4" x14ac:dyDescent="0.25">
      <c r="D320" s="75"/>
    </row>
    <row r="321" spans="4:4" x14ac:dyDescent="0.25">
      <c r="D321" s="75"/>
    </row>
    <row r="322" spans="4:4" x14ac:dyDescent="0.25">
      <c r="D322" s="75"/>
    </row>
    <row r="323" spans="4:4" x14ac:dyDescent="0.25">
      <c r="D323" s="75"/>
    </row>
    <row r="324" spans="4:4" x14ac:dyDescent="0.25">
      <c r="D324" s="75"/>
    </row>
    <row r="325" spans="4:4" x14ac:dyDescent="0.25">
      <c r="D325" s="75"/>
    </row>
    <row r="326" spans="4:4" x14ac:dyDescent="0.25">
      <c r="D326" s="75"/>
    </row>
    <row r="327" spans="4:4" x14ac:dyDescent="0.25">
      <c r="D327" s="75"/>
    </row>
    <row r="328" spans="4:4" x14ac:dyDescent="0.25">
      <c r="D328" s="75"/>
    </row>
    <row r="329" spans="4:4" x14ac:dyDescent="0.25">
      <c r="D329" s="75"/>
    </row>
    <row r="330" spans="4:4" x14ac:dyDescent="0.25">
      <c r="D330" s="75"/>
    </row>
    <row r="331" spans="4:4" x14ac:dyDescent="0.25">
      <c r="D331" s="75"/>
    </row>
    <row r="332" spans="4:4" x14ac:dyDescent="0.25">
      <c r="D332" s="75"/>
    </row>
    <row r="333" spans="4:4" x14ac:dyDescent="0.25">
      <c r="D333" s="75"/>
    </row>
    <row r="334" spans="4:4" x14ac:dyDescent="0.25">
      <c r="D334" s="75"/>
    </row>
    <row r="335" spans="4:4" x14ac:dyDescent="0.25">
      <c r="D335" s="75"/>
    </row>
    <row r="336" spans="4:4" x14ac:dyDescent="0.25">
      <c r="D336" s="75"/>
    </row>
    <row r="337" spans="4:4" x14ac:dyDescent="0.25">
      <c r="D337" s="75"/>
    </row>
    <row r="338" spans="4:4" x14ac:dyDescent="0.25">
      <c r="D338" s="75"/>
    </row>
    <row r="339" spans="4:4" x14ac:dyDescent="0.25">
      <c r="D339" s="75"/>
    </row>
    <row r="340" spans="4:4" x14ac:dyDescent="0.25">
      <c r="D340" s="75"/>
    </row>
    <row r="341" spans="4:4" x14ac:dyDescent="0.25">
      <c r="D341" s="75"/>
    </row>
    <row r="342" spans="4:4" x14ac:dyDescent="0.25">
      <c r="D342" s="75"/>
    </row>
    <row r="343" spans="4:4" x14ac:dyDescent="0.25">
      <c r="D343" s="75"/>
    </row>
    <row r="344" spans="4:4" x14ac:dyDescent="0.25">
      <c r="D344" s="75"/>
    </row>
    <row r="345" spans="4:4" x14ac:dyDescent="0.25">
      <c r="D345" s="75"/>
    </row>
    <row r="346" spans="4:4" x14ac:dyDescent="0.25">
      <c r="D346" s="75"/>
    </row>
    <row r="347" spans="4:4" x14ac:dyDescent="0.25">
      <c r="D347" s="75"/>
    </row>
    <row r="348" spans="4:4" x14ac:dyDescent="0.25">
      <c r="D348" s="75"/>
    </row>
    <row r="349" spans="4:4" x14ac:dyDescent="0.25">
      <c r="D349" s="75"/>
    </row>
    <row r="350" spans="4:4" x14ac:dyDescent="0.25">
      <c r="D350" s="75"/>
    </row>
    <row r="351" spans="4:4" x14ac:dyDescent="0.25">
      <c r="D351" s="75"/>
    </row>
    <row r="352" spans="4:4" x14ac:dyDescent="0.25">
      <c r="D352" s="75"/>
    </row>
    <row r="353" spans="4:4" x14ac:dyDescent="0.25">
      <c r="D353" s="75"/>
    </row>
    <row r="354" spans="4:4" x14ac:dyDescent="0.25">
      <c r="D354" s="75"/>
    </row>
    <row r="355" spans="4:4" x14ac:dyDescent="0.25">
      <c r="D355" s="75"/>
    </row>
    <row r="356" spans="4:4" x14ac:dyDescent="0.25">
      <c r="D356" s="75"/>
    </row>
    <row r="357" spans="4:4" x14ac:dyDescent="0.25">
      <c r="D357" s="75"/>
    </row>
    <row r="358" spans="4:4" x14ac:dyDescent="0.25">
      <c r="D358" s="75"/>
    </row>
    <row r="359" spans="4:4" x14ac:dyDescent="0.25">
      <c r="D359" s="75"/>
    </row>
    <row r="360" spans="4:4" x14ac:dyDescent="0.25">
      <c r="D360" s="75"/>
    </row>
    <row r="361" spans="4:4" x14ac:dyDescent="0.25">
      <c r="D361" s="75"/>
    </row>
    <row r="362" spans="4:4" x14ac:dyDescent="0.25">
      <c r="D362" s="75"/>
    </row>
    <row r="363" spans="4:4" x14ac:dyDescent="0.25">
      <c r="D363" s="75"/>
    </row>
    <row r="364" spans="4:4" x14ac:dyDescent="0.25">
      <c r="D364" s="75"/>
    </row>
    <row r="365" spans="4:4" x14ac:dyDescent="0.25">
      <c r="D365" s="75"/>
    </row>
    <row r="366" spans="4:4" x14ac:dyDescent="0.25">
      <c r="D366" s="75"/>
    </row>
    <row r="367" spans="4:4" x14ac:dyDescent="0.25">
      <c r="D367" s="75"/>
    </row>
    <row r="368" spans="4:4" x14ac:dyDescent="0.25">
      <c r="D368" s="75"/>
    </row>
    <row r="369" spans="4:4" x14ac:dyDescent="0.25">
      <c r="D369" s="75"/>
    </row>
    <row r="370" spans="4:4" x14ac:dyDescent="0.25">
      <c r="D370" s="75"/>
    </row>
    <row r="371" spans="4:4" x14ac:dyDescent="0.25">
      <c r="D371" s="75"/>
    </row>
    <row r="372" spans="4:4" x14ac:dyDescent="0.25">
      <c r="D372" s="75"/>
    </row>
    <row r="373" spans="4:4" x14ac:dyDescent="0.25">
      <c r="D373" s="75"/>
    </row>
    <row r="374" spans="4:4" x14ac:dyDescent="0.25">
      <c r="D374" s="75"/>
    </row>
    <row r="375" spans="4:4" x14ac:dyDescent="0.25">
      <c r="D375" s="75"/>
    </row>
    <row r="376" spans="4:4" x14ac:dyDescent="0.25">
      <c r="D376" s="75"/>
    </row>
    <row r="377" spans="4:4" x14ac:dyDescent="0.25">
      <c r="D377" s="75"/>
    </row>
    <row r="378" spans="4:4" x14ac:dyDescent="0.25">
      <c r="D378" s="75"/>
    </row>
    <row r="379" spans="4:4" x14ac:dyDescent="0.25">
      <c r="D379" s="75"/>
    </row>
    <row r="380" spans="4:4" x14ac:dyDescent="0.25">
      <c r="D380" s="75"/>
    </row>
    <row r="381" spans="4:4" x14ac:dyDescent="0.25">
      <c r="D381" s="75"/>
    </row>
    <row r="382" spans="4:4" x14ac:dyDescent="0.25">
      <c r="D382" s="75"/>
    </row>
    <row r="383" spans="4:4" x14ac:dyDescent="0.25">
      <c r="D383" s="75"/>
    </row>
    <row r="384" spans="4:4" x14ac:dyDescent="0.25">
      <c r="D384" s="75"/>
    </row>
    <row r="385" spans="4:4" x14ac:dyDescent="0.25">
      <c r="D385" s="75"/>
    </row>
    <row r="386" spans="4:4" x14ac:dyDescent="0.25">
      <c r="D386" s="75"/>
    </row>
    <row r="387" spans="4:4" x14ac:dyDescent="0.25">
      <c r="D387" s="75"/>
    </row>
    <row r="388" spans="4:4" x14ac:dyDescent="0.25">
      <c r="D388" s="75"/>
    </row>
    <row r="389" spans="4:4" x14ac:dyDescent="0.25">
      <c r="D389" s="75"/>
    </row>
    <row r="390" spans="4:4" x14ac:dyDescent="0.25">
      <c r="D390" s="75"/>
    </row>
    <row r="391" spans="4:4" x14ac:dyDescent="0.25">
      <c r="D391" s="75"/>
    </row>
    <row r="392" spans="4:4" x14ac:dyDescent="0.25">
      <c r="D392" s="75"/>
    </row>
    <row r="393" spans="4:4" x14ac:dyDescent="0.25">
      <c r="D393" s="75"/>
    </row>
    <row r="394" spans="4:4" x14ac:dyDescent="0.25">
      <c r="D394" s="75"/>
    </row>
    <row r="395" spans="4:4" x14ac:dyDescent="0.25">
      <c r="D395" s="75"/>
    </row>
    <row r="396" spans="4:4" x14ac:dyDescent="0.25">
      <c r="D396" s="75"/>
    </row>
    <row r="397" spans="4:4" x14ac:dyDescent="0.25">
      <c r="D397" s="75"/>
    </row>
    <row r="398" spans="4:4" x14ac:dyDescent="0.25">
      <c r="D398" s="75"/>
    </row>
    <row r="399" spans="4:4" x14ac:dyDescent="0.25">
      <c r="D399" s="75"/>
    </row>
    <row r="400" spans="4:4" x14ac:dyDescent="0.25">
      <c r="D400" s="75"/>
    </row>
    <row r="401" spans="4:4" x14ac:dyDescent="0.25">
      <c r="D401" s="75"/>
    </row>
    <row r="402" spans="4:4" x14ac:dyDescent="0.25">
      <c r="D402" s="75"/>
    </row>
    <row r="403" spans="4:4" x14ac:dyDescent="0.25">
      <c r="D403" s="75"/>
    </row>
    <row r="404" spans="4:4" x14ac:dyDescent="0.25">
      <c r="D404" s="75"/>
    </row>
    <row r="405" spans="4:4" x14ac:dyDescent="0.25">
      <c r="D405" s="75"/>
    </row>
    <row r="406" spans="4:4" x14ac:dyDescent="0.25">
      <c r="D406" s="75"/>
    </row>
    <row r="407" spans="4:4" x14ac:dyDescent="0.25">
      <c r="D407" s="75"/>
    </row>
    <row r="408" spans="4:4" x14ac:dyDescent="0.25">
      <c r="D408" s="75"/>
    </row>
    <row r="409" spans="4:4" x14ac:dyDescent="0.25">
      <c r="D409" s="75"/>
    </row>
    <row r="410" spans="4:4" x14ac:dyDescent="0.25">
      <c r="D410" s="75"/>
    </row>
    <row r="411" spans="4:4" x14ac:dyDescent="0.25">
      <c r="D411" s="75"/>
    </row>
    <row r="412" spans="4:4" x14ac:dyDescent="0.25">
      <c r="D412" s="75"/>
    </row>
    <row r="413" spans="4:4" x14ac:dyDescent="0.25">
      <c r="D413" s="75"/>
    </row>
    <row r="414" spans="4:4" x14ac:dyDescent="0.25">
      <c r="D414" s="75"/>
    </row>
    <row r="415" spans="4:4" x14ac:dyDescent="0.25">
      <c r="D415" s="75"/>
    </row>
    <row r="416" spans="4:4" x14ac:dyDescent="0.25">
      <c r="D416" s="75"/>
    </row>
    <row r="417" spans="4:4" x14ac:dyDescent="0.25">
      <c r="D417" s="75"/>
    </row>
    <row r="418" spans="4:4" x14ac:dyDescent="0.25">
      <c r="D418" s="75"/>
    </row>
    <row r="419" spans="4:4" x14ac:dyDescent="0.25">
      <c r="D419" s="75"/>
    </row>
    <row r="420" spans="4:4" x14ac:dyDescent="0.25">
      <c r="D420" s="75"/>
    </row>
    <row r="421" spans="4:4" x14ac:dyDescent="0.25">
      <c r="D421" s="75"/>
    </row>
    <row r="422" spans="4:4" x14ac:dyDescent="0.25">
      <c r="D422" s="75"/>
    </row>
    <row r="423" spans="4:4" x14ac:dyDescent="0.25">
      <c r="D423" s="75"/>
    </row>
    <row r="424" spans="4:4" x14ac:dyDescent="0.25">
      <c r="D424" s="75"/>
    </row>
    <row r="425" spans="4:4" x14ac:dyDescent="0.25">
      <c r="D425" s="75"/>
    </row>
    <row r="426" spans="4:4" x14ac:dyDescent="0.25">
      <c r="D426" s="75"/>
    </row>
    <row r="427" spans="4:4" x14ac:dyDescent="0.25">
      <c r="D427" s="75"/>
    </row>
    <row r="428" spans="4:4" x14ac:dyDescent="0.25">
      <c r="D428" s="75"/>
    </row>
    <row r="429" spans="4:4" x14ac:dyDescent="0.25">
      <c r="D429" s="75"/>
    </row>
    <row r="430" spans="4:4" x14ac:dyDescent="0.25">
      <c r="D430" s="75"/>
    </row>
    <row r="431" spans="4:4" x14ac:dyDescent="0.25">
      <c r="D431" s="75"/>
    </row>
    <row r="432" spans="4:4" x14ac:dyDescent="0.25">
      <c r="D432" s="75"/>
    </row>
    <row r="433" spans="4:4" x14ac:dyDescent="0.25">
      <c r="D433" s="75"/>
    </row>
    <row r="434" spans="4:4" x14ac:dyDescent="0.25">
      <c r="D434" s="75"/>
    </row>
    <row r="435" spans="4:4" x14ac:dyDescent="0.25">
      <c r="D435" s="75"/>
    </row>
    <row r="436" spans="4:4" x14ac:dyDescent="0.25">
      <c r="D436" s="75"/>
    </row>
    <row r="437" spans="4:4" x14ac:dyDescent="0.25">
      <c r="D437" s="75"/>
    </row>
    <row r="438" spans="4:4" x14ac:dyDescent="0.25">
      <c r="D438" s="75"/>
    </row>
    <row r="439" spans="4:4" x14ac:dyDescent="0.25">
      <c r="D439" s="75"/>
    </row>
    <row r="440" spans="4:4" x14ac:dyDescent="0.25">
      <c r="D440" s="75"/>
    </row>
    <row r="441" spans="4:4" x14ac:dyDescent="0.25">
      <c r="D441" s="75"/>
    </row>
    <row r="442" spans="4:4" x14ac:dyDescent="0.25">
      <c r="D442" s="75"/>
    </row>
    <row r="443" spans="4:4" x14ac:dyDescent="0.25">
      <c r="D443" s="75"/>
    </row>
    <row r="444" spans="4:4" x14ac:dyDescent="0.25">
      <c r="D444" s="75"/>
    </row>
    <row r="445" spans="4:4" x14ac:dyDescent="0.25">
      <c r="D445" s="75"/>
    </row>
    <row r="446" spans="4:4" x14ac:dyDescent="0.25">
      <c r="D446" s="75"/>
    </row>
    <row r="447" spans="4:4" x14ac:dyDescent="0.25">
      <c r="D447" s="75"/>
    </row>
    <row r="448" spans="4:4" x14ac:dyDescent="0.25">
      <c r="D448" s="75"/>
    </row>
    <row r="449" spans="4:4" x14ac:dyDescent="0.25">
      <c r="D449" s="75"/>
    </row>
    <row r="450" spans="4:4" x14ac:dyDescent="0.25">
      <c r="D450" s="75"/>
    </row>
    <row r="451" spans="4:4" x14ac:dyDescent="0.25">
      <c r="D451" s="75"/>
    </row>
    <row r="452" spans="4:4" x14ac:dyDescent="0.25">
      <c r="D452" s="75"/>
    </row>
    <row r="453" spans="4:4" x14ac:dyDescent="0.25">
      <c r="D453" s="75"/>
    </row>
    <row r="454" spans="4:4" x14ac:dyDescent="0.25">
      <c r="D454" s="75"/>
    </row>
    <row r="455" spans="4:4" x14ac:dyDescent="0.25">
      <c r="D455" s="75"/>
    </row>
    <row r="456" spans="4:4" x14ac:dyDescent="0.25">
      <c r="D456" s="75"/>
    </row>
    <row r="457" spans="4:4" x14ac:dyDescent="0.25">
      <c r="D457" s="75"/>
    </row>
    <row r="458" spans="4:4" x14ac:dyDescent="0.25">
      <c r="D458" s="75"/>
    </row>
    <row r="459" spans="4:4" x14ac:dyDescent="0.25">
      <c r="D459" s="75"/>
    </row>
    <row r="460" spans="4:4" x14ac:dyDescent="0.25">
      <c r="D460" s="75"/>
    </row>
    <row r="461" spans="4:4" x14ac:dyDescent="0.25">
      <c r="D461" s="75"/>
    </row>
    <row r="462" spans="4:4" x14ac:dyDescent="0.25">
      <c r="D462" s="75"/>
    </row>
    <row r="463" spans="4:4" x14ac:dyDescent="0.25">
      <c r="D463" s="75"/>
    </row>
    <row r="464" spans="4:4" x14ac:dyDescent="0.25">
      <c r="D464" s="75"/>
    </row>
    <row r="465" spans="4:4" x14ac:dyDescent="0.25">
      <c r="D465" s="75"/>
    </row>
    <row r="466" spans="4:4" x14ac:dyDescent="0.25">
      <c r="D466" s="75"/>
    </row>
    <row r="467" spans="4:4" x14ac:dyDescent="0.25">
      <c r="D467" s="75"/>
    </row>
    <row r="468" spans="4:4" x14ac:dyDescent="0.25">
      <c r="D468" s="75"/>
    </row>
    <row r="469" spans="4:4" x14ac:dyDescent="0.25">
      <c r="D469" s="75"/>
    </row>
    <row r="470" spans="4:4" x14ac:dyDescent="0.25">
      <c r="D470" s="75"/>
    </row>
    <row r="471" spans="4:4" x14ac:dyDescent="0.25">
      <c r="D471" s="75"/>
    </row>
    <row r="472" spans="4:4" x14ac:dyDescent="0.25">
      <c r="D472" s="75"/>
    </row>
    <row r="473" spans="4:4" x14ac:dyDescent="0.25">
      <c r="D473" s="75"/>
    </row>
    <row r="474" spans="4:4" x14ac:dyDescent="0.25">
      <c r="D474" s="75"/>
    </row>
    <row r="475" spans="4:4" x14ac:dyDescent="0.25">
      <c r="D475" s="75"/>
    </row>
    <row r="476" spans="4:4" x14ac:dyDescent="0.25">
      <c r="D476" s="75"/>
    </row>
    <row r="477" spans="4:4" x14ac:dyDescent="0.25">
      <c r="D477" s="75"/>
    </row>
    <row r="478" spans="4:4" x14ac:dyDescent="0.25">
      <c r="D478" s="75"/>
    </row>
    <row r="479" spans="4:4" x14ac:dyDescent="0.25">
      <c r="D479" s="75"/>
    </row>
    <row r="480" spans="4:4" x14ac:dyDescent="0.25">
      <c r="D480" s="75"/>
    </row>
    <row r="481" spans="4:4" x14ac:dyDescent="0.25">
      <c r="D481" s="75"/>
    </row>
    <row r="482" spans="4:4" x14ac:dyDescent="0.25">
      <c r="D482" s="75"/>
    </row>
    <row r="483" spans="4:4" x14ac:dyDescent="0.25">
      <c r="D483" s="75"/>
    </row>
    <row r="484" spans="4:4" x14ac:dyDescent="0.25">
      <c r="D484" s="75"/>
    </row>
    <row r="485" spans="4:4" x14ac:dyDescent="0.25">
      <c r="D485" s="75"/>
    </row>
    <row r="486" spans="4:4" x14ac:dyDescent="0.25">
      <c r="D486" s="75"/>
    </row>
    <row r="487" spans="4:4" x14ac:dyDescent="0.25">
      <c r="D487" s="75"/>
    </row>
    <row r="488" spans="4:4" x14ac:dyDescent="0.25">
      <c r="D488" s="75"/>
    </row>
    <row r="489" spans="4:4" x14ac:dyDescent="0.25">
      <c r="D489" s="75"/>
    </row>
    <row r="490" spans="4:4" x14ac:dyDescent="0.25">
      <c r="D490" s="75"/>
    </row>
    <row r="491" spans="4:4" x14ac:dyDescent="0.25">
      <c r="D491" s="75"/>
    </row>
    <row r="492" spans="4:4" x14ac:dyDescent="0.25">
      <c r="D492" s="75"/>
    </row>
    <row r="493" spans="4:4" x14ac:dyDescent="0.25">
      <c r="D493" s="75"/>
    </row>
    <row r="494" spans="4:4" x14ac:dyDescent="0.25">
      <c r="D494" s="75"/>
    </row>
    <row r="495" spans="4:4" x14ac:dyDescent="0.25">
      <c r="D495" s="75"/>
    </row>
    <row r="496" spans="4:4" x14ac:dyDescent="0.25">
      <c r="D496" s="75"/>
    </row>
    <row r="497" spans="4:4" x14ac:dyDescent="0.25">
      <c r="D497" s="75"/>
    </row>
    <row r="498" spans="4:4" x14ac:dyDescent="0.25">
      <c r="D498" s="75"/>
    </row>
    <row r="499" spans="4:4" x14ac:dyDescent="0.25">
      <c r="D499" s="75"/>
    </row>
    <row r="500" spans="4:4" x14ac:dyDescent="0.25">
      <c r="D500" s="75"/>
    </row>
    <row r="501" spans="4:4" x14ac:dyDescent="0.25">
      <c r="D501" s="75"/>
    </row>
    <row r="502" spans="4:4" x14ac:dyDescent="0.25">
      <c r="D502" s="75"/>
    </row>
    <row r="503" spans="4:4" x14ac:dyDescent="0.25">
      <c r="D503" s="75"/>
    </row>
    <row r="504" spans="4:4" x14ac:dyDescent="0.25">
      <c r="D504" s="75"/>
    </row>
    <row r="505" spans="4:4" x14ac:dyDescent="0.25">
      <c r="D505" s="75"/>
    </row>
    <row r="506" spans="4:4" x14ac:dyDescent="0.25">
      <c r="D506" s="75"/>
    </row>
    <row r="507" spans="4:4" x14ac:dyDescent="0.25">
      <c r="D507" s="75"/>
    </row>
    <row r="508" spans="4:4" x14ac:dyDescent="0.25">
      <c r="D508" s="75"/>
    </row>
    <row r="509" spans="4:4" x14ac:dyDescent="0.25">
      <c r="D509" s="75"/>
    </row>
    <row r="510" spans="4:4" x14ac:dyDescent="0.25">
      <c r="D510" s="75"/>
    </row>
    <row r="511" spans="4:4" x14ac:dyDescent="0.25">
      <c r="D511" s="75"/>
    </row>
    <row r="512" spans="4:4" x14ac:dyDescent="0.25">
      <c r="D512" s="75"/>
    </row>
    <row r="513" spans="4:4" x14ac:dyDescent="0.25">
      <c r="D513" s="75"/>
    </row>
    <row r="514" spans="4:4" x14ac:dyDescent="0.25">
      <c r="D514" s="75"/>
    </row>
    <row r="515" spans="4:4" x14ac:dyDescent="0.25">
      <c r="D515" s="75"/>
    </row>
    <row r="516" spans="4:4" x14ac:dyDescent="0.25">
      <c r="D516" s="75"/>
    </row>
    <row r="517" spans="4:4" x14ac:dyDescent="0.25">
      <c r="D517" s="75"/>
    </row>
    <row r="518" spans="4:4" x14ac:dyDescent="0.25">
      <c r="D518" s="75"/>
    </row>
    <row r="519" spans="4:4" x14ac:dyDescent="0.25">
      <c r="D519" s="75"/>
    </row>
    <row r="520" spans="4:4" x14ac:dyDescent="0.25">
      <c r="D520" s="75"/>
    </row>
    <row r="521" spans="4:4" x14ac:dyDescent="0.25">
      <c r="D521" s="75"/>
    </row>
    <row r="522" spans="4:4" x14ac:dyDescent="0.25">
      <c r="D522" s="75"/>
    </row>
    <row r="523" spans="4:4" x14ac:dyDescent="0.25">
      <c r="D523" s="75"/>
    </row>
    <row r="524" spans="4:4" x14ac:dyDescent="0.25">
      <c r="D524" s="75"/>
    </row>
    <row r="525" spans="4:4" x14ac:dyDescent="0.25">
      <c r="D525" s="75"/>
    </row>
    <row r="526" spans="4:4" x14ac:dyDescent="0.25">
      <c r="D526" s="75"/>
    </row>
    <row r="527" spans="4:4" x14ac:dyDescent="0.25">
      <c r="D527" s="75"/>
    </row>
    <row r="528" spans="4:4" x14ac:dyDescent="0.25">
      <c r="D528" s="75"/>
    </row>
    <row r="529" spans="4:4" x14ac:dyDescent="0.25">
      <c r="D529" s="75"/>
    </row>
    <row r="530" spans="4:4" x14ac:dyDescent="0.25">
      <c r="D530" s="75"/>
    </row>
    <row r="531" spans="4:4" x14ac:dyDescent="0.25">
      <c r="D531" s="75"/>
    </row>
    <row r="532" spans="4:4" x14ac:dyDescent="0.25">
      <c r="D532" s="75"/>
    </row>
    <row r="533" spans="4:4" x14ac:dyDescent="0.25">
      <c r="D533" s="75"/>
    </row>
    <row r="534" spans="4:4" x14ac:dyDescent="0.25">
      <c r="D534" s="75"/>
    </row>
    <row r="535" spans="4:4" x14ac:dyDescent="0.25">
      <c r="D535" s="75"/>
    </row>
    <row r="536" spans="4:4" x14ac:dyDescent="0.25">
      <c r="D536" s="75"/>
    </row>
    <row r="537" spans="4:4" x14ac:dyDescent="0.25">
      <c r="D537" s="75"/>
    </row>
    <row r="538" spans="4:4" x14ac:dyDescent="0.25">
      <c r="D538" s="75"/>
    </row>
    <row r="539" spans="4:4" x14ac:dyDescent="0.25">
      <c r="D539" s="75"/>
    </row>
    <row r="540" spans="4:4" x14ac:dyDescent="0.25">
      <c r="D540" s="75"/>
    </row>
    <row r="541" spans="4:4" x14ac:dyDescent="0.25">
      <c r="D541" s="75"/>
    </row>
    <row r="542" spans="4:4" x14ac:dyDescent="0.25">
      <c r="D542" s="75"/>
    </row>
    <row r="543" spans="4:4" x14ac:dyDescent="0.25">
      <c r="D543" s="75"/>
    </row>
    <row r="544" spans="4:4" x14ac:dyDescent="0.25">
      <c r="D544" s="75"/>
    </row>
    <row r="545" spans="4:4" x14ac:dyDescent="0.25">
      <c r="D545" s="75"/>
    </row>
    <row r="546" spans="4:4" x14ac:dyDescent="0.25">
      <c r="D546" s="75"/>
    </row>
    <row r="547" spans="4:4" x14ac:dyDescent="0.25">
      <c r="D547" s="75"/>
    </row>
    <row r="548" spans="4:4" x14ac:dyDescent="0.25">
      <c r="D548" s="75"/>
    </row>
    <row r="549" spans="4:4" x14ac:dyDescent="0.25">
      <c r="D549" s="75"/>
    </row>
    <row r="550" spans="4:4" x14ac:dyDescent="0.25">
      <c r="D550" s="75"/>
    </row>
    <row r="551" spans="4:4" x14ac:dyDescent="0.25">
      <c r="D551" s="75"/>
    </row>
    <row r="552" spans="4:4" x14ac:dyDescent="0.25">
      <c r="D552" s="75"/>
    </row>
    <row r="553" spans="4:4" x14ac:dyDescent="0.25">
      <c r="D553" s="75"/>
    </row>
    <row r="554" spans="4:4" x14ac:dyDescent="0.25">
      <c r="D554" s="75"/>
    </row>
    <row r="555" spans="4:4" x14ac:dyDescent="0.25">
      <c r="D555" s="75"/>
    </row>
    <row r="556" spans="4:4" x14ac:dyDescent="0.25">
      <c r="D556" s="75"/>
    </row>
    <row r="557" spans="4:4" x14ac:dyDescent="0.25">
      <c r="D557" s="75"/>
    </row>
    <row r="558" spans="4:4" x14ac:dyDescent="0.25">
      <c r="D558" s="75"/>
    </row>
    <row r="559" spans="4:4" x14ac:dyDescent="0.25">
      <c r="D559" s="75"/>
    </row>
    <row r="560" spans="4:4" x14ac:dyDescent="0.25">
      <c r="D560" s="75"/>
    </row>
    <row r="561" spans="4:4" x14ac:dyDescent="0.25">
      <c r="D561" s="75"/>
    </row>
    <row r="562" spans="4:4" x14ac:dyDescent="0.25">
      <c r="D562" s="75"/>
    </row>
    <row r="563" spans="4:4" x14ac:dyDescent="0.25">
      <c r="D563" s="75"/>
    </row>
    <row r="564" spans="4:4" x14ac:dyDescent="0.25">
      <c r="D564" s="75"/>
    </row>
    <row r="565" spans="4:4" x14ac:dyDescent="0.25">
      <c r="D565" s="75"/>
    </row>
    <row r="566" spans="4:4" x14ac:dyDescent="0.25">
      <c r="D566" s="75"/>
    </row>
    <row r="567" spans="4:4" x14ac:dyDescent="0.25">
      <c r="D567" s="75"/>
    </row>
    <row r="568" spans="4:4" x14ac:dyDescent="0.25">
      <c r="D568" s="75"/>
    </row>
    <row r="569" spans="4:4" x14ac:dyDescent="0.25">
      <c r="D569" s="75"/>
    </row>
    <row r="570" spans="4:4" x14ac:dyDescent="0.25">
      <c r="D570" s="75"/>
    </row>
    <row r="571" spans="4:4" x14ac:dyDescent="0.25">
      <c r="D571" s="75"/>
    </row>
    <row r="572" spans="4:4" x14ac:dyDescent="0.25">
      <c r="D572" s="75"/>
    </row>
    <row r="573" spans="4:4" x14ac:dyDescent="0.25">
      <c r="D573" s="75"/>
    </row>
    <row r="574" spans="4:4" x14ac:dyDescent="0.25">
      <c r="D574" s="75"/>
    </row>
    <row r="575" spans="4:4" x14ac:dyDescent="0.25">
      <c r="D575" s="75"/>
    </row>
    <row r="576" spans="4:4" x14ac:dyDescent="0.25">
      <c r="D576" s="75"/>
    </row>
    <row r="577" spans="4:4" x14ac:dyDescent="0.25">
      <c r="D577" s="75"/>
    </row>
    <row r="578" spans="4:4" x14ac:dyDescent="0.25">
      <c r="D578" s="75"/>
    </row>
    <row r="579" spans="4:4" x14ac:dyDescent="0.25">
      <c r="D579" s="75"/>
    </row>
    <row r="580" spans="4:4" x14ac:dyDescent="0.25">
      <c r="D580" s="75"/>
    </row>
    <row r="581" spans="4:4" x14ac:dyDescent="0.25">
      <c r="D581" s="75"/>
    </row>
    <row r="582" spans="4:4" x14ac:dyDescent="0.25">
      <c r="D582" s="75"/>
    </row>
    <row r="583" spans="4:4" x14ac:dyDescent="0.25">
      <c r="D583" s="75"/>
    </row>
    <row r="584" spans="4:4" x14ac:dyDescent="0.25">
      <c r="D584" s="75"/>
    </row>
    <row r="585" spans="4:4" x14ac:dyDescent="0.25">
      <c r="D585" s="75"/>
    </row>
    <row r="586" spans="4:4" x14ac:dyDescent="0.25">
      <c r="D586" s="75"/>
    </row>
    <row r="587" spans="4:4" x14ac:dyDescent="0.25">
      <c r="D587" s="75"/>
    </row>
    <row r="588" spans="4:4" x14ac:dyDescent="0.25">
      <c r="D588" s="75"/>
    </row>
    <row r="589" spans="4:4" x14ac:dyDescent="0.25">
      <c r="D589" s="75"/>
    </row>
    <row r="590" spans="4:4" x14ac:dyDescent="0.25">
      <c r="D590" s="75"/>
    </row>
    <row r="591" spans="4:4" x14ac:dyDescent="0.25">
      <c r="D591" s="75"/>
    </row>
    <row r="592" spans="4:4" x14ac:dyDescent="0.25">
      <c r="D592" s="75"/>
    </row>
    <row r="593" spans="4:4" x14ac:dyDescent="0.25">
      <c r="D593" s="75"/>
    </row>
    <row r="594" spans="4:4" x14ac:dyDescent="0.25">
      <c r="D594" s="75"/>
    </row>
    <row r="595" spans="4:4" x14ac:dyDescent="0.25">
      <c r="D595" s="75"/>
    </row>
    <row r="596" spans="4:4" x14ac:dyDescent="0.25">
      <c r="D596" s="75"/>
    </row>
    <row r="597" spans="4:4" x14ac:dyDescent="0.25">
      <c r="D597" s="75"/>
    </row>
    <row r="598" spans="4:4" x14ac:dyDescent="0.25">
      <c r="D598" s="75"/>
    </row>
    <row r="599" spans="4:4" x14ac:dyDescent="0.25">
      <c r="D599" s="75"/>
    </row>
    <row r="600" spans="4:4" x14ac:dyDescent="0.25">
      <c r="D600" s="75"/>
    </row>
    <row r="601" spans="4:4" x14ac:dyDescent="0.25">
      <c r="D601" s="75"/>
    </row>
    <row r="602" spans="4:4" x14ac:dyDescent="0.25">
      <c r="D602" s="75"/>
    </row>
    <row r="603" spans="4:4" x14ac:dyDescent="0.25">
      <c r="D603" s="75"/>
    </row>
    <row r="604" spans="4:4" x14ac:dyDescent="0.25">
      <c r="D604" s="75"/>
    </row>
    <row r="605" spans="4:4" x14ac:dyDescent="0.25">
      <c r="D605" s="75"/>
    </row>
    <row r="606" spans="4:4" x14ac:dyDescent="0.25">
      <c r="D606" s="75"/>
    </row>
    <row r="607" spans="4:4" x14ac:dyDescent="0.25">
      <c r="D607" s="75"/>
    </row>
    <row r="608" spans="4:4" x14ac:dyDescent="0.25">
      <c r="D608" s="75"/>
    </row>
    <row r="609" spans="4:4" x14ac:dyDescent="0.25">
      <c r="D609" s="75"/>
    </row>
    <row r="610" spans="4:4" x14ac:dyDescent="0.25">
      <c r="D610" s="75"/>
    </row>
    <row r="611" spans="4:4" x14ac:dyDescent="0.25">
      <c r="D611" s="75"/>
    </row>
    <row r="612" spans="4:4" x14ac:dyDescent="0.25">
      <c r="D612" s="75"/>
    </row>
    <row r="613" spans="4:4" x14ac:dyDescent="0.25">
      <c r="D613" s="75"/>
    </row>
    <row r="614" spans="4:4" x14ac:dyDescent="0.25">
      <c r="D614" s="75"/>
    </row>
    <row r="615" spans="4:4" x14ac:dyDescent="0.25">
      <c r="D615" s="75"/>
    </row>
    <row r="616" spans="4:4" x14ac:dyDescent="0.25">
      <c r="D616" s="75"/>
    </row>
    <row r="617" spans="4:4" x14ac:dyDescent="0.25">
      <c r="D617" s="75"/>
    </row>
    <row r="618" spans="4:4" x14ac:dyDescent="0.25">
      <c r="D618" s="75"/>
    </row>
    <row r="619" spans="4:4" x14ac:dyDescent="0.25">
      <c r="D619" s="75"/>
    </row>
    <row r="620" spans="4:4" x14ac:dyDescent="0.25">
      <c r="D620" s="75"/>
    </row>
    <row r="621" spans="4:4" x14ac:dyDescent="0.25">
      <c r="D621" s="75"/>
    </row>
    <row r="622" spans="4:4" x14ac:dyDescent="0.25">
      <c r="D622" s="75"/>
    </row>
    <row r="623" spans="4:4" x14ac:dyDescent="0.25">
      <c r="D623" s="75"/>
    </row>
    <row r="624" spans="4:4" x14ac:dyDescent="0.25">
      <c r="D624" s="75"/>
    </row>
    <row r="625" spans="4:4" x14ac:dyDescent="0.25">
      <c r="D625" s="75"/>
    </row>
    <row r="626" spans="4:4" x14ac:dyDescent="0.25">
      <c r="D626" s="75"/>
    </row>
    <row r="627" spans="4:4" x14ac:dyDescent="0.25">
      <c r="D627" s="75"/>
    </row>
    <row r="628" spans="4:4" x14ac:dyDescent="0.25">
      <c r="D628" s="75"/>
    </row>
    <row r="629" spans="4:4" x14ac:dyDescent="0.25">
      <c r="D629" s="75"/>
    </row>
    <row r="630" spans="4:4" x14ac:dyDescent="0.25">
      <c r="D630" s="75"/>
    </row>
    <row r="631" spans="4:4" x14ac:dyDescent="0.25">
      <c r="D631" s="75"/>
    </row>
    <row r="632" spans="4:4" x14ac:dyDescent="0.25">
      <c r="D632" s="75"/>
    </row>
    <row r="633" spans="4:4" x14ac:dyDescent="0.25">
      <c r="D633" s="75"/>
    </row>
    <row r="634" spans="4:4" x14ac:dyDescent="0.25">
      <c r="D634" s="75"/>
    </row>
    <row r="635" spans="4:4" x14ac:dyDescent="0.25">
      <c r="D635" s="75"/>
    </row>
    <row r="636" spans="4:4" x14ac:dyDescent="0.25">
      <c r="D636" s="75"/>
    </row>
    <row r="637" spans="4:4" x14ac:dyDescent="0.25">
      <c r="D637" s="75"/>
    </row>
    <row r="638" spans="4:4" x14ac:dyDescent="0.25">
      <c r="D638" s="75"/>
    </row>
    <row r="639" spans="4:4" x14ac:dyDescent="0.25">
      <c r="D639" s="75"/>
    </row>
    <row r="640" spans="4:4" x14ac:dyDescent="0.25">
      <c r="D640" s="75"/>
    </row>
    <row r="641" spans="4:4" x14ac:dyDescent="0.25">
      <c r="D641" s="75"/>
    </row>
    <row r="642" spans="4:4" x14ac:dyDescent="0.25">
      <c r="D642" s="75"/>
    </row>
    <row r="643" spans="4:4" x14ac:dyDescent="0.25">
      <c r="D643" s="75"/>
    </row>
    <row r="644" spans="4:4" x14ac:dyDescent="0.25">
      <c r="D644" s="75"/>
    </row>
    <row r="645" spans="4:4" x14ac:dyDescent="0.25">
      <c r="D645" s="75"/>
    </row>
    <row r="646" spans="4:4" x14ac:dyDescent="0.25">
      <c r="D646" s="75"/>
    </row>
    <row r="647" spans="4:4" x14ac:dyDescent="0.25">
      <c r="D647" s="75"/>
    </row>
    <row r="648" spans="4:4" x14ac:dyDescent="0.25">
      <c r="D648" s="75"/>
    </row>
    <row r="649" spans="4:4" x14ac:dyDescent="0.25">
      <c r="D649" s="75"/>
    </row>
    <row r="650" spans="4:4" x14ac:dyDescent="0.25">
      <c r="D650" s="75"/>
    </row>
    <row r="651" spans="4:4" x14ac:dyDescent="0.25">
      <c r="D651" s="75"/>
    </row>
    <row r="652" spans="4:4" x14ac:dyDescent="0.25">
      <c r="D652" s="75"/>
    </row>
    <row r="653" spans="4:4" x14ac:dyDescent="0.25">
      <c r="D653" s="75"/>
    </row>
    <row r="654" spans="4:4" x14ac:dyDescent="0.25">
      <c r="D654" s="75"/>
    </row>
    <row r="655" spans="4:4" x14ac:dyDescent="0.25">
      <c r="D655" s="75"/>
    </row>
    <row r="656" spans="4:4" x14ac:dyDescent="0.25">
      <c r="D656" s="75"/>
    </row>
    <row r="657" spans="4:4" x14ac:dyDescent="0.25">
      <c r="D657" s="75"/>
    </row>
    <row r="658" spans="4:4" x14ac:dyDescent="0.25">
      <c r="D658" s="75"/>
    </row>
    <row r="659" spans="4:4" x14ac:dyDescent="0.25">
      <c r="D659" s="75"/>
    </row>
    <row r="660" spans="4:4" x14ac:dyDescent="0.25">
      <c r="D660" s="75"/>
    </row>
    <row r="661" spans="4:4" x14ac:dyDescent="0.25">
      <c r="D661" s="75"/>
    </row>
    <row r="662" spans="4:4" x14ac:dyDescent="0.25">
      <c r="D662" s="75"/>
    </row>
    <row r="663" spans="4:4" x14ac:dyDescent="0.25">
      <c r="D663" s="75"/>
    </row>
    <row r="664" spans="4:4" x14ac:dyDescent="0.25">
      <c r="D664" s="75"/>
    </row>
    <row r="665" spans="4:4" x14ac:dyDescent="0.25">
      <c r="D665" s="75"/>
    </row>
    <row r="666" spans="4:4" x14ac:dyDescent="0.25">
      <c r="D666" s="75"/>
    </row>
    <row r="667" spans="4:4" x14ac:dyDescent="0.25">
      <c r="D667" s="75"/>
    </row>
    <row r="668" spans="4:4" x14ac:dyDescent="0.25">
      <c r="D668" s="75"/>
    </row>
    <row r="669" spans="4:4" x14ac:dyDescent="0.25">
      <c r="D669" s="75"/>
    </row>
    <row r="670" spans="4:4" x14ac:dyDescent="0.25">
      <c r="D670" s="75"/>
    </row>
    <row r="671" spans="4:4" x14ac:dyDescent="0.25">
      <c r="D671" s="75"/>
    </row>
    <row r="672" spans="4:4" x14ac:dyDescent="0.25">
      <c r="D672" s="75"/>
    </row>
    <row r="673" spans="4:4" x14ac:dyDescent="0.25">
      <c r="D673" s="75"/>
    </row>
    <row r="674" spans="4:4" x14ac:dyDescent="0.25">
      <c r="D674" s="75"/>
    </row>
    <row r="675" spans="4:4" x14ac:dyDescent="0.25">
      <c r="D675" s="75"/>
    </row>
    <row r="676" spans="4:4" x14ac:dyDescent="0.25">
      <c r="D676" s="75"/>
    </row>
    <row r="677" spans="4:4" x14ac:dyDescent="0.25">
      <c r="D677" s="75"/>
    </row>
    <row r="678" spans="4:4" x14ac:dyDescent="0.25">
      <c r="D678" s="75"/>
    </row>
    <row r="679" spans="4:4" x14ac:dyDescent="0.25">
      <c r="D679" s="75"/>
    </row>
    <row r="680" spans="4:4" x14ac:dyDescent="0.25">
      <c r="D680" s="75"/>
    </row>
    <row r="681" spans="4:4" x14ac:dyDescent="0.25">
      <c r="D681" s="75"/>
    </row>
    <row r="682" spans="4:4" x14ac:dyDescent="0.25">
      <c r="D682" s="75"/>
    </row>
    <row r="683" spans="4:4" x14ac:dyDescent="0.25">
      <c r="D683" s="75"/>
    </row>
    <row r="684" spans="4:4" x14ac:dyDescent="0.25">
      <c r="D684" s="75"/>
    </row>
    <row r="685" spans="4:4" x14ac:dyDescent="0.25">
      <c r="D685" s="75"/>
    </row>
    <row r="686" spans="4:4" x14ac:dyDescent="0.25">
      <c r="D686" s="75"/>
    </row>
    <row r="687" spans="4:4" x14ac:dyDescent="0.25">
      <c r="D687" s="75"/>
    </row>
    <row r="688" spans="4:4" x14ac:dyDescent="0.25">
      <c r="D688" s="75"/>
    </row>
    <row r="689" spans="4:4" x14ac:dyDescent="0.25">
      <c r="D689" s="75"/>
    </row>
    <row r="690" spans="4:4" x14ac:dyDescent="0.25">
      <c r="D690" s="75"/>
    </row>
    <row r="691" spans="4:4" x14ac:dyDescent="0.25">
      <c r="D691" s="75"/>
    </row>
    <row r="692" spans="4:4" x14ac:dyDescent="0.25">
      <c r="D692" s="75"/>
    </row>
    <row r="693" spans="4:4" x14ac:dyDescent="0.25">
      <c r="D693" s="75"/>
    </row>
    <row r="694" spans="4:4" x14ac:dyDescent="0.25">
      <c r="D694" s="75"/>
    </row>
    <row r="695" spans="4:4" x14ac:dyDescent="0.25">
      <c r="D695" s="75"/>
    </row>
    <row r="696" spans="4:4" x14ac:dyDescent="0.25">
      <c r="D696" s="75"/>
    </row>
    <row r="697" spans="4:4" x14ac:dyDescent="0.25">
      <c r="D697" s="75"/>
    </row>
    <row r="698" spans="4:4" x14ac:dyDescent="0.25">
      <c r="D698" s="75"/>
    </row>
    <row r="699" spans="4:4" x14ac:dyDescent="0.25">
      <c r="D699" s="75"/>
    </row>
    <row r="700" spans="4:4" x14ac:dyDescent="0.25">
      <c r="D700" s="75"/>
    </row>
    <row r="701" spans="4:4" x14ac:dyDescent="0.25">
      <c r="D701" s="75"/>
    </row>
    <row r="702" spans="4:4" x14ac:dyDescent="0.25">
      <c r="D702" s="75"/>
    </row>
    <row r="703" spans="4:4" x14ac:dyDescent="0.25">
      <c r="D703" s="75"/>
    </row>
    <row r="704" spans="4:4" x14ac:dyDescent="0.25">
      <c r="D704" s="75"/>
    </row>
    <row r="705" spans="4:4" x14ac:dyDescent="0.25">
      <c r="D705" s="75"/>
    </row>
    <row r="706" spans="4:4" x14ac:dyDescent="0.25">
      <c r="D706" s="75"/>
    </row>
    <row r="707" spans="4:4" x14ac:dyDescent="0.25">
      <c r="D707" s="75"/>
    </row>
    <row r="708" spans="4:4" x14ac:dyDescent="0.25">
      <c r="D708" s="75"/>
    </row>
    <row r="709" spans="4:4" x14ac:dyDescent="0.25">
      <c r="D709" s="75"/>
    </row>
    <row r="710" spans="4:4" x14ac:dyDescent="0.25">
      <c r="D710" s="75"/>
    </row>
    <row r="711" spans="4:4" x14ac:dyDescent="0.25">
      <c r="D711" s="75"/>
    </row>
    <row r="712" spans="4:4" x14ac:dyDescent="0.25">
      <c r="D712" s="75"/>
    </row>
    <row r="713" spans="4:4" x14ac:dyDescent="0.25">
      <c r="D713" s="75"/>
    </row>
    <row r="714" spans="4:4" x14ac:dyDescent="0.25">
      <c r="D714" s="75"/>
    </row>
    <row r="715" spans="4:4" x14ac:dyDescent="0.25">
      <c r="D715" s="75"/>
    </row>
    <row r="716" spans="4:4" x14ac:dyDescent="0.25">
      <c r="D716" s="75"/>
    </row>
    <row r="717" spans="4:4" x14ac:dyDescent="0.25">
      <c r="D717" s="75"/>
    </row>
    <row r="718" spans="4:4" x14ac:dyDescent="0.25">
      <c r="D718" s="75"/>
    </row>
    <row r="719" spans="4:4" x14ac:dyDescent="0.25">
      <c r="D719" s="75"/>
    </row>
    <row r="720" spans="4:4" x14ac:dyDescent="0.25">
      <c r="D720" s="75"/>
    </row>
    <row r="721" spans="4:4" x14ac:dyDescent="0.25">
      <c r="D721" s="75"/>
    </row>
    <row r="722" spans="4:4" x14ac:dyDescent="0.25">
      <c r="D722" s="75"/>
    </row>
    <row r="723" spans="4:4" x14ac:dyDescent="0.25">
      <c r="D723" s="75"/>
    </row>
    <row r="724" spans="4:4" x14ac:dyDescent="0.25">
      <c r="D724" s="75"/>
    </row>
    <row r="725" spans="4:4" x14ac:dyDescent="0.25">
      <c r="D725" s="75"/>
    </row>
    <row r="726" spans="4:4" x14ac:dyDescent="0.25">
      <c r="D726" s="75"/>
    </row>
    <row r="727" spans="4:4" x14ac:dyDescent="0.25">
      <c r="D727" s="75"/>
    </row>
    <row r="728" spans="4:4" x14ac:dyDescent="0.25">
      <c r="D728" s="75"/>
    </row>
    <row r="729" spans="4:4" x14ac:dyDescent="0.25">
      <c r="D729" s="75"/>
    </row>
    <row r="730" spans="4:4" x14ac:dyDescent="0.25">
      <c r="D730" s="75"/>
    </row>
    <row r="731" spans="4:4" x14ac:dyDescent="0.25">
      <c r="D731" s="75"/>
    </row>
    <row r="732" spans="4:4" x14ac:dyDescent="0.25">
      <c r="D732" s="75"/>
    </row>
    <row r="733" spans="4:4" x14ac:dyDescent="0.25">
      <c r="D733" s="75"/>
    </row>
    <row r="734" spans="4:4" x14ac:dyDescent="0.25">
      <c r="D734" s="75"/>
    </row>
    <row r="735" spans="4:4" x14ac:dyDescent="0.25">
      <c r="D735" s="75"/>
    </row>
    <row r="736" spans="4:4" x14ac:dyDescent="0.25">
      <c r="D736" s="75"/>
    </row>
    <row r="737" spans="4:4" x14ac:dyDescent="0.25">
      <c r="D737" s="75"/>
    </row>
    <row r="738" spans="4:4" x14ac:dyDescent="0.25">
      <c r="D738" s="75"/>
    </row>
    <row r="739" spans="4:4" x14ac:dyDescent="0.25">
      <c r="D739" s="75"/>
    </row>
    <row r="740" spans="4:4" x14ac:dyDescent="0.25">
      <c r="D740" s="75"/>
    </row>
    <row r="741" spans="4:4" x14ac:dyDescent="0.25">
      <c r="D741" s="75"/>
    </row>
    <row r="742" spans="4:4" x14ac:dyDescent="0.25">
      <c r="D742" s="75"/>
    </row>
    <row r="743" spans="4:4" x14ac:dyDescent="0.25">
      <c r="D743" s="75"/>
    </row>
    <row r="744" spans="4:4" x14ac:dyDescent="0.25">
      <c r="D744" s="75"/>
    </row>
    <row r="745" spans="4:4" x14ac:dyDescent="0.25">
      <c r="D745" s="75"/>
    </row>
    <row r="746" spans="4:4" x14ac:dyDescent="0.25">
      <c r="D746" s="75"/>
    </row>
    <row r="747" spans="4:4" x14ac:dyDescent="0.25">
      <c r="D747" s="75"/>
    </row>
    <row r="748" spans="4:4" x14ac:dyDescent="0.25">
      <c r="D748" s="75"/>
    </row>
    <row r="749" spans="4:4" x14ac:dyDescent="0.25">
      <c r="D749" s="75"/>
    </row>
    <row r="750" spans="4:4" x14ac:dyDescent="0.25">
      <c r="D750" s="75"/>
    </row>
    <row r="751" spans="4:4" x14ac:dyDescent="0.25">
      <c r="D751" s="75"/>
    </row>
    <row r="752" spans="4:4" x14ac:dyDescent="0.25">
      <c r="D752" s="75"/>
    </row>
    <row r="753" spans="4:4" x14ac:dyDescent="0.25">
      <c r="D753" s="75"/>
    </row>
    <row r="754" spans="4:4" x14ac:dyDescent="0.25">
      <c r="D754" s="75"/>
    </row>
    <row r="755" spans="4:4" x14ac:dyDescent="0.25">
      <c r="D755" s="75"/>
    </row>
    <row r="756" spans="4:4" x14ac:dyDescent="0.25">
      <c r="D756" s="75"/>
    </row>
    <row r="757" spans="4:4" x14ac:dyDescent="0.25">
      <c r="D757" s="75"/>
    </row>
    <row r="758" spans="4:4" x14ac:dyDescent="0.25">
      <c r="D758" s="75"/>
    </row>
    <row r="759" spans="4:4" x14ac:dyDescent="0.25">
      <c r="D759" s="75"/>
    </row>
    <row r="760" spans="4:4" x14ac:dyDescent="0.25">
      <c r="D760" s="75"/>
    </row>
    <row r="761" spans="4:4" x14ac:dyDescent="0.25">
      <c r="D761" s="75"/>
    </row>
    <row r="762" spans="4:4" x14ac:dyDescent="0.25">
      <c r="D762" s="75"/>
    </row>
    <row r="763" spans="4:4" x14ac:dyDescent="0.25">
      <c r="D763" s="75"/>
    </row>
    <row r="764" spans="4:4" x14ac:dyDescent="0.25">
      <c r="D764" s="75"/>
    </row>
    <row r="765" spans="4:4" x14ac:dyDescent="0.25">
      <c r="D765" s="75"/>
    </row>
    <row r="766" spans="4:4" x14ac:dyDescent="0.25">
      <c r="D766" s="75"/>
    </row>
    <row r="767" spans="4:4" x14ac:dyDescent="0.25">
      <c r="D767" s="75"/>
    </row>
    <row r="768" spans="4:4" x14ac:dyDescent="0.25">
      <c r="D768" s="75"/>
    </row>
    <row r="769" spans="4:4" x14ac:dyDescent="0.25">
      <c r="D769" s="75"/>
    </row>
    <row r="770" spans="4:4" x14ac:dyDescent="0.25">
      <c r="D770" s="75"/>
    </row>
    <row r="771" spans="4:4" x14ac:dyDescent="0.25">
      <c r="D771" s="75"/>
    </row>
    <row r="772" spans="4:4" x14ac:dyDescent="0.25">
      <c r="D772" s="75"/>
    </row>
    <row r="773" spans="4:4" x14ac:dyDescent="0.25">
      <c r="D773" s="75"/>
    </row>
    <row r="774" spans="4:4" x14ac:dyDescent="0.25">
      <c r="D774" s="75"/>
    </row>
    <row r="775" spans="4:4" x14ac:dyDescent="0.25">
      <c r="D775" s="75"/>
    </row>
    <row r="776" spans="4:4" x14ac:dyDescent="0.25">
      <c r="D776" s="75"/>
    </row>
    <row r="777" spans="4:4" x14ac:dyDescent="0.25">
      <c r="D777" s="75"/>
    </row>
    <row r="778" spans="4:4" x14ac:dyDescent="0.25">
      <c r="D778" s="75"/>
    </row>
    <row r="779" spans="4:4" x14ac:dyDescent="0.25">
      <c r="D779" s="75"/>
    </row>
    <row r="780" spans="4:4" x14ac:dyDescent="0.25">
      <c r="D780" s="75"/>
    </row>
    <row r="781" spans="4:4" x14ac:dyDescent="0.25">
      <c r="D781" s="75"/>
    </row>
    <row r="782" spans="4:4" x14ac:dyDescent="0.25">
      <c r="D782" s="75"/>
    </row>
    <row r="783" spans="4:4" x14ac:dyDescent="0.25">
      <c r="D783" s="75"/>
    </row>
    <row r="784" spans="4:4" x14ac:dyDescent="0.25">
      <c r="D784" s="75"/>
    </row>
    <row r="785" spans="4:4" x14ac:dyDescent="0.25">
      <c r="D785" s="75"/>
    </row>
    <row r="786" spans="4:4" x14ac:dyDescent="0.25">
      <c r="D786" s="75"/>
    </row>
    <row r="787" spans="4:4" x14ac:dyDescent="0.25">
      <c r="D787" s="75"/>
    </row>
    <row r="788" spans="4:4" x14ac:dyDescent="0.25">
      <c r="D788" s="75"/>
    </row>
    <row r="789" spans="4:4" x14ac:dyDescent="0.25">
      <c r="D789" s="75"/>
    </row>
    <row r="790" spans="4:4" x14ac:dyDescent="0.25">
      <c r="D790" s="75"/>
    </row>
    <row r="791" spans="4:4" x14ac:dyDescent="0.25">
      <c r="D791" s="75"/>
    </row>
    <row r="792" spans="4:4" x14ac:dyDescent="0.25">
      <c r="D792" s="75"/>
    </row>
    <row r="793" spans="4:4" x14ac:dyDescent="0.25">
      <c r="D793" s="75"/>
    </row>
    <row r="794" spans="4:4" x14ac:dyDescent="0.25">
      <c r="D794" s="75"/>
    </row>
    <row r="795" spans="4:4" x14ac:dyDescent="0.25">
      <c r="D795" s="75"/>
    </row>
    <row r="796" spans="4:4" x14ac:dyDescent="0.25">
      <c r="D796" s="75"/>
    </row>
    <row r="797" spans="4:4" x14ac:dyDescent="0.25">
      <c r="D797" s="75"/>
    </row>
    <row r="798" spans="4:4" x14ac:dyDescent="0.25">
      <c r="D798" s="75"/>
    </row>
    <row r="799" spans="4:4" x14ac:dyDescent="0.25">
      <c r="D799" s="75"/>
    </row>
    <row r="800" spans="4:4" x14ac:dyDescent="0.25">
      <c r="D800" s="75"/>
    </row>
    <row r="801" spans="4:4" x14ac:dyDescent="0.25">
      <c r="D801" s="75"/>
    </row>
    <row r="802" spans="4:4" x14ac:dyDescent="0.25">
      <c r="D802" s="75"/>
    </row>
    <row r="803" spans="4:4" x14ac:dyDescent="0.25">
      <c r="D803" s="75"/>
    </row>
    <row r="804" spans="4:4" x14ac:dyDescent="0.25">
      <c r="D804" s="75"/>
    </row>
    <row r="805" spans="4:4" x14ac:dyDescent="0.25">
      <c r="D805" s="75"/>
    </row>
    <row r="806" spans="4:4" x14ac:dyDescent="0.25">
      <c r="D806" s="75"/>
    </row>
    <row r="807" spans="4:4" x14ac:dyDescent="0.25">
      <c r="D807" s="75"/>
    </row>
    <row r="808" spans="4:4" x14ac:dyDescent="0.25">
      <c r="D808" s="75"/>
    </row>
    <row r="809" spans="4:4" x14ac:dyDescent="0.25">
      <c r="D809" s="75"/>
    </row>
    <row r="810" spans="4:4" x14ac:dyDescent="0.25">
      <c r="D810" s="75"/>
    </row>
    <row r="811" spans="4:4" x14ac:dyDescent="0.25">
      <c r="D811" s="75"/>
    </row>
    <row r="812" spans="4:4" x14ac:dyDescent="0.25">
      <c r="D812" s="75"/>
    </row>
    <row r="813" spans="4:4" x14ac:dyDescent="0.25">
      <c r="D813" s="75"/>
    </row>
    <row r="814" spans="4:4" x14ac:dyDescent="0.25">
      <c r="D814" s="75"/>
    </row>
    <row r="815" spans="4:4" x14ac:dyDescent="0.25">
      <c r="D815" s="75"/>
    </row>
    <row r="816" spans="4:4" x14ac:dyDescent="0.25">
      <c r="D816" s="75"/>
    </row>
    <row r="817" spans="4:4" x14ac:dyDescent="0.25">
      <c r="D817" s="75"/>
    </row>
    <row r="818" spans="4:4" x14ac:dyDescent="0.25">
      <c r="D818" s="75"/>
    </row>
    <row r="819" spans="4:4" x14ac:dyDescent="0.25">
      <c r="D819" s="75"/>
    </row>
    <row r="820" spans="4:4" x14ac:dyDescent="0.25">
      <c r="D820" s="75"/>
    </row>
    <row r="821" spans="4:4" x14ac:dyDescent="0.25">
      <c r="D821" s="75"/>
    </row>
    <row r="822" spans="4:4" x14ac:dyDescent="0.25">
      <c r="D822" s="75"/>
    </row>
    <row r="823" spans="4:4" x14ac:dyDescent="0.25">
      <c r="D823" s="75"/>
    </row>
    <row r="824" spans="4:4" x14ac:dyDescent="0.25">
      <c r="D824" s="75"/>
    </row>
    <row r="825" spans="4:4" x14ac:dyDescent="0.25">
      <c r="D825" s="75"/>
    </row>
    <row r="826" spans="4:4" x14ac:dyDescent="0.25">
      <c r="D826" s="75"/>
    </row>
    <row r="827" spans="4:4" x14ac:dyDescent="0.25">
      <c r="D827" s="75"/>
    </row>
    <row r="828" spans="4:4" x14ac:dyDescent="0.25">
      <c r="D828" s="75"/>
    </row>
    <row r="829" spans="4:4" x14ac:dyDescent="0.25">
      <c r="D829" s="75"/>
    </row>
    <row r="830" spans="4:4" x14ac:dyDescent="0.25">
      <c r="D830" s="75"/>
    </row>
    <row r="831" spans="4:4" x14ac:dyDescent="0.25">
      <c r="D831" s="75"/>
    </row>
    <row r="832" spans="4:4" x14ac:dyDescent="0.25">
      <c r="D832" s="75"/>
    </row>
    <row r="833" spans="4:4" x14ac:dyDescent="0.25">
      <c r="D833" s="75"/>
    </row>
    <row r="834" spans="4:4" x14ac:dyDescent="0.25">
      <c r="D834" s="75"/>
    </row>
    <row r="835" spans="4:4" x14ac:dyDescent="0.25">
      <c r="D835" s="75"/>
    </row>
    <row r="836" spans="4:4" x14ac:dyDescent="0.25">
      <c r="D836" s="75"/>
    </row>
    <row r="837" spans="4:4" x14ac:dyDescent="0.25">
      <c r="D837" s="75"/>
    </row>
    <row r="838" spans="4:4" x14ac:dyDescent="0.25">
      <c r="D838" s="75"/>
    </row>
    <row r="839" spans="4:4" x14ac:dyDescent="0.25">
      <c r="D839" s="75"/>
    </row>
    <row r="840" spans="4:4" x14ac:dyDescent="0.25">
      <c r="D840" s="75"/>
    </row>
    <row r="841" spans="4:4" x14ac:dyDescent="0.25">
      <c r="D841" s="75"/>
    </row>
    <row r="842" spans="4:4" x14ac:dyDescent="0.25">
      <c r="D842" s="75"/>
    </row>
    <row r="843" spans="4:4" x14ac:dyDescent="0.25">
      <c r="D843" s="75"/>
    </row>
    <row r="844" spans="4:4" x14ac:dyDescent="0.25">
      <c r="D844" s="75"/>
    </row>
    <row r="845" spans="4:4" x14ac:dyDescent="0.25">
      <c r="D845" s="75"/>
    </row>
    <row r="846" spans="4:4" x14ac:dyDescent="0.25">
      <c r="D846" s="75"/>
    </row>
    <row r="847" spans="4:4" x14ac:dyDescent="0.25">
      <c r="D847" s="75"/>
    </row>
    <row r="848" spans="4:4" x14ac:dyDescent="0.25">
      <c r="D848" s="75"/>
    </row>
    <row r="849" spans="4:4" x14ac:dyDescent="0.25">
      <c r="D849" s="75"/>
    </row>
    <row r="850" spans="4:4" x14ac:dyDescent="0.25">
      <c r="D850" s="75"/>
    </row>
    <row r="851" spans="4:4" x14ac:dyDescent="0.25">
      <c r="D851" s="75"/>
    </row>
    <row r="852" spans="4:4" x14ac:dyDescent="0.25">
      <c r="D852" s="75"/>
    </row>
    <row r="853" spans="4:4" x14ac:dyDescent="0.25">
      <c r="D853" s="75"/>
    </row>
    <row r="854" spans="4:4" x14ac:dyDescent="0.25">
      <c r="D854" s="75"/>
    </row>
    <row r="855" spans="4:4" x14ac:dyDescent="0.25">
      <c r="D855" s="75"/>
    </row>
    <row r="856" spans="4:4" x14ac:dyDescent="0.25">
      <c r="D856" s="75"/>
    </row>
    <row r="857" spans="4:4" x14ac:dyDescent="0.25">
      <c r="D857" s="75"/>
    </row>
    <row r="858" spans="4:4" x14ac:dyDescent="0.25">
      <c r="D858" s="75"/>
    </row>
    <row r="859" spans="4:4" x14ac:dyDescent="0.25">
      <c r="D859" s="75"/>
    </row>
    <row r="860" spans="4:4" x14ac:dyDescent="0.25">
      <c r="D860" s="75"/>
    </row>
    <row r="861" spans="4:4" x14ac:dyDescent="0.25">
      <c r="D861" s="75"/>
    </row>
    <row r="862" spans="4:4" x14ac:dyDescent="0.25">
      <c r="D862" s="75"/>
    </row>
    <row r="863" spans="4:4" x14ac:dyDescent="0.25">
      <c r="D863" s="75"/>
    </row>
    <row r="864" spans="4:4" x14ac:dyDescent="0.25">
      <c r="D864" s="75"/>
    </row>
    <row r="865" spans="4:4" x14ac:dyDescent="0.25">
      <c r="D865" s="75"/>
    </row>
    <row r="866" spans="4:4" x14ac:dyDescent="0.25">
      <c r="D866" s="75"/>
    </row>
    <row r="867" spans="4:4" x14ac:dyDescent="0.25">
      <c r="D867" s="75"/>
    </row>
    <row r="868" spans="4:4" x14ac:dyDescent="0.25">
      <c r="D868" s="75"/>
    </row>
    <row r="869" spans="4:4" x14ac:dyDescent="0.25">
      <c r="D869" s="75"/>
    </row>
    <row r="870" spans="4:4" x14ac:dyDescent="0.25">
      <c r="D870" s="75"/>
    </row>
    <row r="871" spans="4:4" x14ac:dyDescent="0.25">
      <c r="D871" s="75"/>
    </row>
    <row r="872" spans="4:4" x14ac:dyDescent="0.25">
      <c r="D872" s="75"/>
    </row>
    <row r="873" spans="4:4" x14ac:dyDescent="0.25">
      <c r="D873" s="75"/>
    </row>
    <row r="874" spans="4:4" x14ac:dyDescent="0.25">
      <c r="D874" s="75"/>
    </row>
    <row r="875" spans="4:4" x14ac:dyDescent="0.25">
      <c r="D875" s="75"/>
    </row>
    <row r="876" spans="4:4" x14ac:dyDescent="0.25">
      <c r="D876" s="75"/>
    </row>
    <row r="877" spans="4:4" x14ac:dyDescent="0.25">
      <c r="D877" s="75"/>
    </row>
    <row r="878" spans="4:4" x14ac:dyDescent="0.25">
      <c r="D878" s="75"/>
    </row>
    <row r="879" spans="4:4" x14ac:dyDescent="0.25">
      <c r="D879" s="75"/>
    </row>
    <row r="880" spans="4:4" x14ac:dyDescent="0.25">
      <c r="D880" s="75"/>
    </row>
    <row r="881" spans="4:4" x14ac:dyDescent="0.25">
      <c r="D881" s="75"/>
    </row>
    <row r="882" spans="4:4" x14ac:dyDescent="0.25">
      <c r="D882" s="75"/>
    </row>
    <row r="883" spans="4:4" x14ac:dyDescent="0.25">
      <c r="D883" s="75"/>
    </row>
    <row r="884" spans="4:4" x14ac:dyDescent="0.25">
      <c r="D884" s="75"/>
    </row>
    <row r="885" spans="4:4" x14ac:dyDescent="0.25">
      <c r="D885" s="75"/>
    </row>
    <row r="886" spans="4:4" x14ac:dyDescent="0.25">
      <c r="D886" s="75"/>
    </row>
    <row r="887" spans="4:4" x14ac:dyDescent="0.25">
      <c r="D887" s="75"/>
    </row>
    <row r="888" spans="4:4" x14ac:dyDescent="0.25">
      <c r="D888" s="75"/>
    </row>
    <row r="889" spans="4:4" x14ac:dyDescent="0.25">
      <c r="D889" s="75"/>
    </row>
    <row r="890" spans="4:4" x14ac:dyDescent="0.25">
      <c r="D890" s="75"/>
    </row>
    <row r="891" spans="4:4" x14ac:dyDescent="0.25">
      <c r="D891" s="75"/>
    </row>
    <row r="892" spans="4:4" x14ac:dyDescent="0.25">
      <c r="D892" s="75"/>
    </row>
    <row r="893" spans="4:4" x14ac:dyDescent="0.25">
      <c r="D893" s="75"/>
    </row>
    <row r="894" spans="4:4" x14ac:dyDescent="0.25">
      <c r="D894" s="75"/>
    </row>
    <row r="895" spans="4:4" x14ac:dyDescent="0.25">
      <c r="D895" s="75"/>
    </row>
    <row r="896" spans="4:4" x14ac:dyDescent="0.25">
      <c r="D896" s="75"/>
    </row>
    <row r="897" spans="4:4" x14ac:dyDescent="0.25">
      <c r="D897" s="75"/>
    </row>
    <row r="898" spans="4:4" x14ac:dyDescent="0.25">
      <c r="D898" s="75"/>
    </row>
    <row r="899" spans="4:4" x14ac:dyDescent="0.25">
      <c r="D899" s="75"/>
    </row>
    <row r="900" spans="4:4" x14ac:dyDescent="0.25">
      <c r="D900" s="75"/>
    </row>
    <row r="901" spans="4:4" x14ac:dyDescent="0.25">
      <c r="D901" s="75"/>
    </row>
    <row r="902" spans="4:4" x14ac:dyDescent="0.25">
      <c r="D902" s="75"/>
    </row>
    <row r="903" spans="4:4" x14ac:dyDescent="0.25">
      <c r="D903" s="75"/>
    </row>
    <row r="904" spans="4:4" x14ac:dyDescent="0.25">
      <c r="D904" s="75"/>
    </row>
    <row r="905" spans="4:4" x14ac:dyDescent="0.25">
      <c r="D905" s="75"/>
    </row>
    <row r="906" spans="4:4" x14ac:dyDescent="0.25">
      <c r="D906" s="75"/>
    </row>
    <row r="907" spans="4:4" x14ac:dyDescent="0.25">
      <c r="D907" s="75"/>
    </row>
    <row r="908" spans="4:4" x14ac:dyDescent="0.25">
      <c r="D908" s="75"/>
    </row>
    <row r="909" spans="4:4" x14ac:dyDescent="0.25">
      <c r="D909" s="75"/>
    </row>
    <row r="910" spans="4:4" x14ac:dyDescent="0.25">
      <c r="D910" s="75"/>
    </row>
    <row r="911" spans="4:4" x14ac:dyDescent="0.25">
      <c r="D911" s="75"/>
    </row>
    <row r="912" spans="4:4" x14ac:dyDescent="0.25">
      <c r="D912" s="75"/>
    </row>
    <row r="913" spans="4:4" x14ac:dyDescent="0.25">
      <c r="D913" s="75"/>
    </row>
    <row r="914" spans="4:4" x14ac:dyDescent="0.25">
      <c r="D914" s="75"/>
    </row>
    <row r="915" spans="4:4" x14ac:dyDescent="0.25">
      <c r="D915" s="75"/>
    </row>
    <row r="916" spans="4:4" x14ac:dyDescent="0.25">
      <c r="D916" s="75"/>
    </row>
    <row r="917" spans="4:4" x14ac:dyDescent="0.25">
      <c r="D917" s="75"/>
    </row>
    <row r="918" spans="4:4" x14ac:dyDescent="0.25">
      <c r="D918" s="75"/>
    </row>
    <row r="919" spans="4:4" x14ac:dyDescent="0.25">
      <c r="D919" s="75"/>
    </row>
    <row r="920" spans="4:4" x14ac:dyDescent="0.25">
      <c r="D920" s="75"/>
    </row>
    <row r="921" spans="4:4" x14ac:dyDescent="0.25">
      <c r="D921" s="75"/>
    </row>
    <row r="922" spans="4:4" x14ac:dyDescent="0.25">
      <c r="D922" s="75"/>
    </row>
    <row r="923" spans="4:4" x14ac:dyDescent="0.25">
      <c r="D923" s="75"/>
    </row>
    <row r="924" spans="4:4" x14ac:dyDescent="0.25">
      <c r="D924" s="75"/>
    </row>
    <row r="925" spans="4:4" x14ac:dyDescent="0.25">
      <c r="D925" s="75"/>
    </row>
    <row r="926" spans="4:4" x14ac:dyDescent="0.25">
      <c r="D926" s="75"/>
    </row>
    <row r="927" spans="4:4" x14ac:dyDescent="0.25">
      <c r="D927" s="75"/>
    </row>
    <row r="928" spans="4:4" x14ac:dyDescent="0.25">
      <c r="D928" s="75"/>
    </row>
    <row r="929" spans="4:4" x14ac:dyDescent="0.25">
      <c r="D929" s="75"/>
    </row>
  </sheetData>
  <mergeCells count="2">
    <mergeCell ref="C51:G51"/>
    <mergeCell ref="I51:K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Problem_5d_Final_Exam">
                <anchor moveWithCells="1" sizeWithCells="1">
                  <from>
                    <xdr:col>3</xdr:col>
                    <xdr:colOff>66675</xdr:colOff>
                    <xdr:row>43</xdr:row>
                    <xdr:rowOff>38100</xdr:rowOff>
                  </from>
                  <to>
                    <xdr:col>6</xdr:col>
                    <xdr:colOff>819150</xdr:colOff>
                    <xdr:row>45</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C736B-B50E-4206-8826-C1E5C900CF99}">
  <sheetPr codeName="Sheet3"/>
  <dimension ref="A1:A364"/>
  <sheetViews>
    <sheetView workbookViewId="0">
      <selection activeCell="D27" sqref="D27"/>
    </sheetView>
  </sheetViews>
  <sheetFormatPr defaultRowHeight="15" x14ac:dyDescent="0.25"/>
  <cols>
    <col min="1" max="1" width="159.85546875" style="8" customWidth="1"/>
  </cols>
  <sheetData>
    <row r="1" spans="1:1" ht="15.75" x14ac:dyDescent="0.25">
      <c r="A1" s="7" t="s">
        <v>9</v>
      </c>
    </row>
    <row r="3" spans="1:1" x14ac:dyDescent="0.25">
      <c r="A3" s="6" t="s">
        <v>232</v>
      </c>
    </row>
    <row r="5" spans="1:1" x14ac:dyDescent="0.25">
      <c r="A5" s="8" t="s">
        <v>233</v>
      </c>
    </row>
    <row r="6" spans="1:1" x14ac:dyDescent="0.25">
      <c r="A6" s="8" t="s">
        <v>234</v>
      </c>
    </row>
    <row r="8" spans="1:1" x14ac:dyDescent="0.25">
      <c r="A8" s="8" t="s">
        <v>235</v>
      </c>
    </row>
    <row r="9" spans="1:1" x14ac:dyDescent="0.25">
      <c r="A9" s="8" t="s">
        <v>236</v>
      </c>
    </row>
    <row r="11" spans="1:1" x14ac:dyDescent="0.25">
      <c r="A11" s="8" t="s">
        <v>237</v>
      </c>
    </row>
    <row r="12" spans="1:1" x14ac:dyDescent="0.25">
      <c r="A12" s="8" t="s">
        <v>238</v>
      </c>
    </row>
    <row r="13" spans="1:1" x14ac:dyDescent="0.25">
      <c r="A13" s="8" t="s">
        <v>239</v>
      </c>
    </row>
    <row r="14" spans="1:1" x14ac:dyDescent="0.25">
      <c r="A14" s="8" t="s">
        <v>240</v>
      </c>
    </row>
    <row r="16" spans="1:1" x14ac:dyDescent="0.25">
      <c r="A16" s="8" t="s">
        <v>241</v>
      </c>
    </row>
    <row r="17" spans="1:1" x14ac:dyDescent="0.25">
      <c r="A17" s="8" t="s">
        <v>242</v>
      </c>
    </row>
    <row r="18" spans="1:1" x14ac:dyDescent="0.25">
      <c r="A18" s="8" t="s">
        <v>243</v>
      </c>
    </row>
    <row r="19" spans="1:1" x14ac:dyDescent="0.25">
      <c r="A19" s="8" t="s">
        <v>244</v>
      </c>
    </row>
    <row r="21" spans="1:1" x14ac:dyDescent="0.25">
      <c r="A21" s="8" t="s">
        <v>245</v>
      </c>
    </row>
    <row r="22" spans="1:1" x14ac:dyDescent="0.25">
      <c r="A22" s="8" t="s">
        <v>246</v>
      </c>
    </row>
    <row r="23" spans="1:1" x14ac:dyDescent="0.25">
      <c r="A23" s="8" t="s">
        <v>243</v>
      </c>
    </row>
    <row r="24" spans="1:1" x14ac:dyDescent="0.25">
      <c r="A24" s="8" t="s">
        <v>244</v>
      </c>
    </row>
    <row r="26" spans="1:1" x14ac:dyDescent="0.25">
      <c r="A26" s="8" t="s">
        <v>247</v>
      </c>
    </row>
    <row r="27" spans="1:1" x14ac:dyDescent="0.25">
      <c r="A27" s="8" t="s">
        <v>248</v>
      </c>
    </row>
    <row r="28" spans="1:1" x14ac:dyDescent="0.25">
      <c r="A28" s="8" t="s">
        <v>243</v>
      </c>
    </row>
    <row r="29" spans="1:1" x14ac:dyDescent="0.25">
      <c r="A29" s="8" t="s">
        <v>244</v>
      </c>
    </row>
    <row r="31" spans="1:1" x14ac:dyDescent="0.25">
      <c r="A31" s="8" t="s">
        <v>249</v>
      </c>
    </row>
    <row r="32" spans="1:1" x14ac:dyDescent="0.25">
      <c r="A32" s="8" t="s">
        <v>248</v>
      </c>
    </row>
    <row r="33" spans="1:1" x14ac:dyDescent="0.25">
      <c r="A33" s="8" t="s">
        <v>243</v>
      </c>
    </row>
    <row r="34" spans="1:1" x14ac:dyDescent="0.25">
      <c r="A34" s="8" t="s">
        <v>244</v>
      </c>
    </row>
    <row r="36" spans="1:1" x14ac:dyDescent="0.25">
      <c r="A36" s="8" t="s">
        <v>250</v>
      </c>
    </row>
    <row r="37" spans="1:1" x14ac:dyDescent="0.25">
      <c r="A37" s="8" t="s">
        <v>248</v>
      </c>
    </row>
    <row r="38" spans="1:1" x14ac:dyDescent="0.25">
      <c r="A38" s="8" t="s">
        <v>243</v>
      </c>
    </row>
    <row r="39" spans="1:1" x14ac:dyDescent="0.25">
      <c r="A39" s="8" t="s">
        <v>244</v>
      </c>
    </row>
    <row r="41" spans="1:1" x14ac:dyDescent="0.25">
      <c r="A41" s="8" t="s">
        <v>251</v>
      </c>
    </row>
    <row r="42" spans="1:1" x14ac:dyDescent="0.25">
      <c r="A42" s="8" t="s">
        <v>248</v>
      </c>
    </row>
    <row r="43" spans="1:1" x14ac:dyDescent="0.25">
      <c r="A43" s="8" t="s">
        <v>243</v>
      </c>
    </row>
    <row r="44" spans="1:1" x14ac:dyDescent="0.25">
      <c r="A44" s="8" t="s">
        <v>244</v>
      </c>
    </row>
    <row r="46" spans="1:1" x14ac:dyDescent="0.25">
      <c r="A46" s="8" t="s">
        <v>252</v>
      </c>
    </row>
    <row r="47" spans="1:1" x14ac:dyDescent="0.25">
      <c r="A47" s="8" t="s">
        <v>253</v>
      </c>
    </row>
    <row r="49" spans="1:1" x14ac:dyDescent="0.25">
      <c r="A49" s="8" t="s">
        <v>254</v>
      </c>
    </row>
    <row r="50" spans="1:1" x14ac:dyDescent="0.25">
      <c r="A50" s="8" t="s">
        <v>255</v>
      </c>
    </row>
    <row r="51" spans="1:1" x14ac:dyDescent="0.25">
      <c r="A51" s="8" t="s">
        <v>243</v>
      </c>
    </row>
    <row r="52" spans="1:1" x14ac:dyDescent="0.25">
      <c r="A52" s="8" t="s">
        <v>244</v>
      </c>
    </row>
    <row r="54" spans="1:1" x14ac:dyDescent="0.25">
      <c r="A54" s="8" t="s">
        <v>256</v>
      </c>
    </row>
    <row r="55" spans="1:1" x14ac:dyDescent="0.25">
      <c r="A55" s="8" t="s">
        <v>257</v>
      </c>
    </row>
    <row r="56" spans="1:1" x14ac:dyDescent="0.25">
      <c r="A56" s="8" t="s">
        <v>258</v>
      </c>
    </row>
    <row r="57" spans="1:1" x14ac:dyDescent="0.25">
      <c r="A57" s="8" t="s">
        <v>259</v>
      </c>
    </row>
    <row r="58" spans="1:1" x14ac:dyDescent="0.25">
      <c r="A58" s="8" t="s">
        <v>260</v>
      </c>
    </row>
    <row r="59" spans="1:1" x14ac:dyDescent="0.25">
      <c r="A59" s="8" t="s">
        <v>261</v>
      </c>
    </row>
    <row r="60" spans="1:1" x14ac:dyDescent="0.25">
      <c r="A60" s="8" t="s">
        <v>262</v>
      </c>
    </row>
    <row r="61" spans="1:1" x14ac:dyDescent="0.25">
      <c r="A61" s="8" t="s">
        <v>263</v>
      </c>
    </row>
    <row r="62" spans="1:1" x14ac:dyDescent="0.25">
      <c r="A62" s="8" t="s">
        <v>264</v>
      </c>
    </row>
    <row r="63" spans="1:1" x14ac:dyDescent="0.25">
      <c r="A63" s="8" t="s">
        <v>265</v>
      </c>
    </row>
    <row r="64" spans="1:1" x14ac:dyDescent="0.25">
      <c r="A64" s="8" t="s">
        <v>266</v>
      </c>
    </row>
    <row r="65" spans="1:1" x14ac:dyDescent="0.25">
      <c r="A65" s="8" t="s">
        <v>267</v>
      </c>
    </row>
    <row r="66" spans="1:1" x14ac:dyDescent="0.25">
      <c r="A66" s="8" t="s">
        <v>174</v>
      </c>
    </row>
    <row r="68" spans="1:1" x14ac:dyDescent="0.25">
      <c r="A68" s="8" t="s">
        <v>268</v>
      </c>
    </row>
    <row r="69" spans="1:1" x14ac:dyDescent="0.25">
      <c r="A69" s="8" t="s">
        <v>269</v>
      </c>
    </row>
    <row r="70" spans="1:1" x14ac:dyDescent="0.25">
      <c r="A70" s="8" t="s">
        <v>270</v>
      </c>
    </row>
    <row r="72" spans="1:1" x14ac:dyDescent="0.25">
      <c r="A72" s="8" t="s">
        <v>271</v>
      </c>
    </row>
    <row r="74" spans="1:1" x14ac:dyDescent="0.25">
      <c r="A74" s="10" t="s">
        <v>273</v>
      </c>
    </row>
    <row r="76" spans="1:1" x14ac:dyDescent="0.25">
      <c r="A76" s="8" t="s">
        <v>272</v>
      </c>
    </row>
    <row r="276" spans="1:1" x14ac:dyDescent="0.25">
      <c r="A276" s="10"/>
    </row>
    <row r="364" spans="1:1" x14ac:dyDescent="0.25">
      <c r="A364"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 Sheet</vt:lpstr>
      <vt:lpstr>Problem 1c</vt:lpstr>
      <vt:lpstr>Problem 2</vt:lpstr>
      <vt:lpstr>Problem 4</vt:lpstr>
      <vt:lpstr>Problem 5abc</vt:lpstr>
      <vt:lpstr>Problem 5d</vt:lpstr>
      <vt:lpstr>Macro Dump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Cline</dc:creator>
  <cp:lastModifiedBy>Stefan Cline</cp:lastModifiedBy>
  <dcterms:created xsi:type="dcterms:W3CDTF">2020-09-03T22:31:18Z</dcterms:created>
  <dcterms:modified xsi:type="dcterms:W3CDTF">2020-12-11T03:58:46Z</dcterms:modified>
</cp:coreProperties>
</file>