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trlProps/ctrlProp8.xml" ContentType="application/vnd.ms-excel.controlproperties+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https://d.docs.live.net/8fa13b15e939eee1/Documents/School/2 Fall Semester 2020/FA20 Elementary Computational Methods/Module 4/"/>
    </mc:Choice>
  </mc:AlternateContent>
  <xr:revisionPtr revIDLastSave="581" documentId="8_{D9E73753-93C0-450A-892D-4D9122C5FFB9}" xr6:coauthVersionLast="45" xr6:coauthVersionMax="45" xr10:uidLastSave="{77624D95-F81A-4042-B755-2C2198FD7612}"/>
  <bookViews>
    <workbookView xWindow="-28920" yWindow="-120" windowWidth="29040" windowHeight="15840" tabRatio="839" xr2:uid="{247E09AE-2CC6-4872-83FB-44D164822C89}"/>
  </bookViews>
  <sheets>
    <sheet name="Intro Sheet" sheetId="1" r:id="rId1"/>
    <sheet name="LV28_If_Then" sheetId="11" r:id="rId2"/>
    <sheet name="LV29_If_Else_Taxes" sheetId="8" r:id="rId3"/>
    <sheet name="LV30_ForLoop_Column" sheetId="14" r:id="rId4"/>
    <sheet name="LV31_Odd_Sum_Loop" sheetId="15" r:id="rId5"/>
    <sheet name="LV32a2_MacL_ATan" sheetId="16" r:id="rId6"/>
    <sheet name="Exercise 5.14" sheetId="17" r:id="rId7"/>
    <sheet name="Exercise 5.15" sheetId="18" r:id="rId8"/>
    <sheet name="Assignment_3" sheetId="19" r:id="rId9"/>
    <sheet name="Assignment_4" sheetId="21" r:id="rId10"/>
    <sheet name="Assignment_5" sheetId="20" r:id="rId11"/>
    <sheet name="Assignment_6b" sheetId="22" r:id="rId12"/>
    <sheet name="Assignment_6c" sheetId="24" r:id="rId13"/>
    <sheet name="Textbook_7.2" sheetId="25" r:id="rId14"/>
    <sheet name="Macro Dump" sheetId="12" r:id="rId15"/>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8" i="25" l="1"/>
  <c r="H18" i="25"/>
  <c r="G18" i="25"/>
  <c r="F18" i="25"/>
  <c r="E18" i="25"/>
  <c r="D18" i="25"/>
  <c r="C18" i="25"/>
  <c r="B18" i="25"/>
  <c r="H34" i="22"/>
  <c r="G34" i="22"/>
  <c r="F34" i="22"/>
  <c r="E34" i="22"/>
  <c r="D34" i="22"/>
  <c r="C24" i="25"/>
  <c r="E24" i="25" s="1"/>
  <c r="E23" i="25"/>
  <c r="D23" i="25"/>
  <c r="E11" i="25"/>
  <c r="D11" i="25"/>
  <c r="C12" i="25"/>
  <c r="E12" i="25" s="1"/>
  <c r="G23" i="25" l="1"/>
  <c r="F23" i="25"/>
  <c r="H23" i="25" s="1"/>
  <c r="B24" i="25" s="1"/>
  <c r="G11" i="25"/>
  <c r="F11" i="25"/>
  <c r="F15" i="22"/>
  <c r="E15" i="22"/>
  <c r="D24" i="25" l="1"/>
  <c r="C25" i="25"/>
  <c r="E25" i="25" s="1"/>
  <c r="I24" i="25"/>
  <c r="H11" i="25"/>
  <c r="B12" i="25" s="1"/>
  <c r="G15" i="22"/>
  <c r="D16" i="22" s="1"/>
  <c r="E16" i="22" l="1"/>
  <c r="F16" i="22"/>
  <c r="H16" i="22"/>
  <c r="C13" i="25"/>
  <c r="E13" i="25" s="1"/>
  <c r="D12" i="25"/>
  <c r="G24" i="25"/>
  <c r="F24" i="25"/>
  <c r="I12" i="25"/>
  <c r="G12" i="25"/>
  <c r="F12" i="25"/>
  <c r="C35" i="21"/>
  <c r="C40" i="20"/>
  <c r="C18" i="20"/>
  <c r="C17" i="20"/>
  <c r="C16" i="20"/>
  <c r="E38" i="20"/>
  <c r="F21" i="20"/>
  <c r="E22" i="20"/>
  <c r="E23" i="20"/>
  <c r="E24" i="20"/>
  <c r="E25" i="20"/>
  <c r="E26" i="20"/>
  <c r="E27" i="20"/>
  <c r="E28" i="20"/>
  <c r="E29" i="20"/>
  <c r="E30" i="20"/>
  <c r="E31" i="20"/>
  <c r="E32" i="20"/>
  <c r="E33" i="20"/>
  <c r="E34" i="20"/>
  <c r="E35" i="20"/>
  <c r="E36" i="20"/>
  <c r="E37" i="20"/>
  <c r="C22" i="20"/>
  <c r="C23" i="20"/>
  <c r="C24" i="20"/>
  <c r="C25" i="20"/>
  <c r="C26" i="20"/>
  <c r="C27" i="20"/>
  <c r="C28" i="20"/>
  <c r="C29" i="20"/>
  <c r="C30" i="20"/>
  <c r="C31" i="20"/>
  <c r="C32" i="20"/>
  <c r="C33" i="20"/>
  <c r="C34" i="20"/>
  <c r="C35" i="20"/>
  <c r="C36" i="20"/>
  <c r="C37" i="20"/>
  <c r="C21" i="20"/>
  <c r="B22" i="20"/>
  <c r="B23" i="20"/>
  <c r="B24" i="20"/>
  <c r="B25" i="20"/>
  <c r="B26" i="20"/>
  <c r="B27" i="20"/>
  <c r="B28" i="20"/>
  <c r="B29" i="20"/>
  <c r="B30" i="20"/>
  <c r="B31" i="20"/>
  <c r="B32" i="20"/>
  <c r="B33" i="20"/>
  <c r="B34" i="20"/>
  <c r="B35" i="20"/>
  <c r="B36" i="20"/>
  <c r="B37" i="20"/>
  <c r="B21" i="20"/>
  <c r="F18" i="19"/>
  <c r="H24" i="25" l="1"/>
  <c r="B25" i="25" s="1"/>
  <c r="H12" i="25"/>
  <c r="B13" i="25" s="1"/>
  <c r="E21" i="20"/>
  <c r="E28" i="21"/>
  <c r="E19" i="21"/>
  <c r="B18" i="21"/>
  <c r="C15" i="21"/>
  <c r="C14" i="21"/>
  <c r="B32" i="21" s="1"/>
  <c r="C32" i="21" s="1"/>
  <c r="E32" i="21" s="1"/>
  <c r="C25" i="19"/>
  <c r="E25" i="19" s="1"/>
  <c r="E33" i="19" s="1"/>
  <c r="E19" i="19"/>
  <c r="E20" i="19"/>
  <c r="E21" i="19"/>
  <c r="E22" i="19"/>
  <c r="E23" i="19"/>
  <c r="E24" i="19"/>
  <c r="E26" i="19"/>
  <c r="E27" i="19"/>
  <c r="E28" i="19"/>
  <c r="E29" i="19"/>
  <c r="E30" i="19"/>
  <c r="E31" i="19"/>
  <c r="E32" i="19"/>
  <c r="E18" i="19"/>
  <c r="C19" i="19"/>
  <c r="C20" i="19"/>
  <c r="C21" i="19"/>
  <c r="C22" i="19"/>
  <c r="C23" i="19"/>
  <c r="C24" i="19"/>
  <c r="C26" i="19"/>
  <c r="C27" i="19"/>
  <c r="C28" i="19"/>
  <c r="C29" i="19"/>
  <c r="C30" i="19"/>
  <c r="C31" i="19"/>
  <c r="C32" i="19"/>
  <c r="C18" i="19"/>
  <c r="B32" i="19"/>
  <c r="C15" i="19"/>
  <c r="B19" i="19"/>
  <c r="B20" i="19"/>
  <c r="B21" i="19"/>
  <c r="B22" i="19"/>
  <c r="B23" i="19"/>
  <c r="B24" i="19"/>
  <c r="B25" i="19"/>
  <c r="B26" i="19"/>
  <c r="B27" i="19"/>
  <c r="B28" i="19"/>
  <c r="B29" i="19"/>
  <c r="B30" i="19"/>
  <c r="B31" i="19"/>
  <c r="B18" i="19"/>
  <c r="C14" i="19"/>
  <c r="I25" i="25" l="1"/>
  <c r="D25" i="25"/>
  <c r="C26" i="25"/>
  <c r="E26" i="25" s="1"/>
  <c r="C14" i="25"/>
  <c r="E14" i="25" s="1"/>
  <c r="D13" i="25"/>
  <c r="F13" i="25" s="1"/>
  <c r="I13" i="25"/>
  <c r="G16" i="22"/>
  <c r="D17" i="22" s="1"/>
  <c r="B25" i="21"/>
  <c r="C25" i="21" s="1"/>
  <c r="E25" i="21" s="1"/>
  <c r="B30" i="21"/>
  <c r="C30" i="21" s="1"/>
  <c r="E30" i="21" s="1"/>
  <c r="B29" i="21"/>
  <c r="C29" i="21" s="1"/>
  <c r="E29" i="21" s="1"/>
  <c r="B22" i="21"/>
  <c r="C22" i="21" s="1"/>
  <c r="E22" i="21" s="1"/>
  <c r="B19" i="21"/>
  <c r="C19" i="21" s="1"/>
  <c r="B31" i="21"/>
  <c r="C31" i="21" s="1"/>
  <c r="E31" i="21" s="1"/>
  <c r="C18" i="21"/>
  <c r="E18" i="21" s="1"/>
  <c r="B26" i="21"/>
  <c r="C26" i="21" s="1"/>
  <c r="E26" i="21" s="1"/>
  <c r="B23" i="21"/>
  <c r="C23" i="21" s="1"/>
  <c r="E23" i="21" s="1"/>
  <c r="B27" i="21"/>
  <c r="C27" i="21" s="1"/>
  <c r="E27" i="21" s="1"/>
  <c r="B21" i="21"/>
  <c r="C21" i="21" s="1"/>
  <c r="E21" i="21" s="1"/>
  <c r="B20" i="21"/>
  <c r="C20" i="21" s="1"/>
  <c r="E20" i="21" s="1"/>
  <c r="B24" i="21"/>
  <c r="C24" i="21" s="1"/>
  <c r="E24" i="21" s="1"/>
  <c r="B28" i="21"/>
  <c r="C28" i="21" s="1"/>
  <c r="G25" i="25" l="1"/>
  <c r="F25" i="25"/>
  <c r="G13" i="25"/>
  <c r="H13" i="25" s="1"/>
  <c r="B14" i="25" s="1"/>
  <c r="D14" i="25" s="1"/>
  <c r="E17" i="22"/>
  <c r="F17" i="22"/>
  <c r="H17" i="22"/>
  <c r="E33" i="21"/>
  <c r="F18" i="21" s="1"/>
  <c r="G17" i="22" l="1"/>
  <c r="H25" i="25"/>
  <c r="B26" i="25" s="1"/>
  <c r="I26" i="25" s="1"/>
  <c r="I14" i="25"/>
  <c r="C15" i="25"/>
  <c r="E15" i="25" s="1"/>
  <c r="D18" i="22"/>
  <c r="C27" i="25" l="1"/>
  <c r="E27" i="25" s="1"/>
  <c r="D26" i="25"/>
  <c r="G26" i="25" s="1"/>
  <c r="G14" i="25"/>
  <c r="F14" i="25"/>
  <c r="H18" i="22"/>
  <c r="E18" i="22"/>
  <c r="G18" i="22" s="1"/>
  <c r="D19" i="22" s="1"/>
  <c r="F18" i="22"/>
  <c r="F26" i="25" l="1"/>
  <c r="H26" i="25" s="1"/>
  <c r="B27" i="25" s="1"/>
  <c r="C28" i="25" s="1"/>
  <c r="E28" i="25" s="1"/>
  <c r="D27" i="25"/>
  <c r="H14" i="25"/>
  <c r="B15" i="25" s="1"/>
  <c r="E19" i="22"/>
  <c r="G19" i="22" s="1"/>
  <c r="D20" i="22" s="1"/>
  <c r="F19" i="22"/>
  <c r="H19" i="22"/>
  <c r="I27" i="25" l="1"/>
  <c r="G27" i="25"/>
  <c r="F27" i="25"/>
  <c r="I15" i="25"/>
  <c r="D15" i="25"/>
  <c r="C16" i="25"/>
  <c r="E16" i="25" s="1"/>
  <c r="G15" i="25"/>
  <c r="E20" i="22"/>
  <c r="H20" i="22"/>
  <c r="F20" i="22"/>
  <c r="G20" i="22" s="1"/>
  <c r="H27" i="25" l="1"/>
  <c r="B28" i="25" s="1"/>
  <c r="F15" i="25"/>
  <c r="H15" i="25" s="1"/>
  <c r="B16" i="25" s="1"/>
  <c r="D16" i="25" s="1"/>
  <c r="D21" i="22"/>
  <c r="I16" i="25" l="1"/>
  <c r="C17" i="25"/>
  <c r="E17" i="25" s="1"/>
  <c r="D28" i="25"/>
  <c r="C29" i="25"/>
  <c r="E29" i="25" s="1"/>
  <c r="I28" i="25"/>
  <c r="F16" i="25"/>
  <c r="G16" i="25"/>
  <c r="H21" i="22"/>
  <c r="E21" i="22"/>
  <c r="F21" i="22"/>
  <c r="G21" i="22" s="1"/>
  <c r="G28" i="25" l="1"/>
  <c r="F28" i="25"/>
  <c r="H16" i="25"/>
  <c r="B17" i="25" s="1"/>
  <c r="D17" i="25" s="1"/>
  <c r="D22" i="22"/>
  <c r="H28" i="25" l="1"/>
  <c r="B29" i="25" s="1"/>
  <c r="I17" i="25"/>
  <c r="F22" i="22"/>
  <c r="H22" i="22"/>
  <c r="E22" i="22"/>
  <c r="G22" i="22" s="1"/>
  <c r="I29" i="25" l="1"/>
  <c r="C30" i="25"/>
  <c r="E30" i="25" s="1"/>
  <c r="D29" i="25"/>
  <c r="G17" i="25"/>
  <c r="F17" i="25"/>
  <c r="D23" i="22"/>
  <c r="G29" i="25" l="1"/>
  <c r="F29" i="25"/>
  <c r="H29" i="25" s="1"/>
  <c r="B30" i="25" s="1"/>
  <c r="H17" i="25"/>
  <c r="E23" i="22"/>
  <c r="F23" i="22"/>
  <c r="G23" i="22" s="1"/>
  <c r="H23" i="22"/>
  <c r="C31" i="25" l="1"/>
  <c r="E31" i="25" s="1"/>
  <c r="I30" i="25"/>
  <c r="D30" i="25"/>
  <c r="D24" i="22"/>
  <c r="G30" i="25" l="1"/>
  <c r="F30" i="25"/>
  <c r="F24" i="22"/>
  <c r="E24" i="22"/>
  <c r="G24" i="22" s="1"/>
  <c r="H24" i="22"/>
  <c r="H30" i="25" l="1"/>
  <c r="B31" i="25" s="1"/>
  <c r="C32" i="25" s="1"/>
  <c r="E32" i="25" s="1"/>
  <c r="D25" i="22"/>
  <c r="I31" i="25" l="1"/>
  <c r="D31" i="25"/>
  <c r="F31" i="25" s="1"/>
  <c r="H25" i="22"/>
  <c r="E25" i="22"/>
  <c r="F25" i="22"/>
  <c r="G25" i="22" s="1"/>
  <c r="G31" i="25" l="1"/>
  <c r="H31" i="25" s="1"/>
  <c r="B32" i="25" s="1"/>
  <c r="I32" i="25" s="1"/>
  <c r="D26" i="22"/>
  <c r="C33" i="25" l="1"/>
  <c r="E33" i="25" s="1"/>
  <c r="D32" i="25"/>
  <c r="G32" i="25" s="1"/>
  <c r="H26" i="22"/>
  <c r="E26" i="22"/>
  <c r="F26" i="22"/>
  <c r="G26" i="22" l="1"/>
  <c r="D27" i="22" s="1"/>
  <c r="F32" i="25"/>
  <c r="H32" i="25" s="1"/>
  <c r="B33" i="25" s="1"/>
  <c r="C34" i="25" s="1"/>
  <c r="E34" i="25" s="1"/>
  <c r="D33" i="25"/>
  <c r="I33" i="25"/>
  <c r="G33" i="25" l="1"/>
  <c r="F33" i="25"/>
  <c r="H27" i="22"/>
  <c r="E27" i="22"/>
  <c r="F27" i="22"/>
  <c r="G27" i="22" l="1"/>
  <c r="H33" i="25"/>
  <c r="B34" i="25" s="1"/>
  <c r="D28" i="22"/>
  <c r="I34" i="25" l="1"/>
  <c r="D34" i="25"/>
  <c r="C35" i="25"/>
  <c r="E35" i="25" s="1"/>
  <c r="F28" i="22"/>
  <c r="H28" i="22"/>
  <c r="E28" i="22"/>
  <c r="G28" i="22"/>
  <c r="G34" i="25" l="1"/>
  <c r="F34" i="25"/>
  <c r="H34" i="25" s="1"/>
  <c r="B35" i="25" s="1"/>
  <c r="C36" i="25" s="1"/>
  <c r="E36" i="25" s="1"/>
  <c r="D29" i="22"/>
  <c r="I35" i="25" l="1"/>
  <c r="D35" i="25"/>
  <c r="E29" i="22"/>
  <c r="F29" i="22"/>
  <c r="G29" i="22" s="1"/>
  <c r="H29" i="22"/>
  <c r="G35" i="25" l="1"/>
  <c r="F35" i="25"/>
  <c r="H35" i="25" s="1"/>
  <c r="B36" i="25" s="1"/>
  <c r="D30" i="22"/>
  <c r="D36" i="25" l="1"/>
  <c r="I36" i="25"/>
  <c r="C37" i="25"/>
  <c r="E37" i="25" s="1"/>
  <c r="F30" i="22"/>
  <c r="E30" i="22"/>
  <c r="G30" i="22" s="1"/>
  <c r="H30" i="22"/>
  <c r="F36" i="25" l="1"/>
  <c r="G36" i="25"/>
  <c r="D31" i="22"/>
  <c r="H36" i="25" l="1"/>
  <c r="B37" i="25" s="1"/>
  <c r="E31" i="22"/>
  <c r="F31" i="22"/>
  <c r="G31" i="22" s="1"/>
  <c r="H31" i="22"/>
  <c r="I37" i="25" l="1"/>
  <c r="C38" i="25"/>
  <c r="E38" i="25" s="1"/>
  <c r="D37" i="25"/>
  <c r="D32" i="22"/>
  <c r="G37" i="25" l="1"/>
  <c r="F37" i="25"/>
  <c r="H37" i="25" s="1"/>
  <c r="B38" i="25" s="1"/>
  <c r="H32" i="22"/>
  <c r="E32" i="22"/>
  <c r="F32" i="22"/>
  <c r="G32" i="22" l="1"/>
  <c r="C39" i="25"/>
  <c r="E39" i="25" s="1"/>
  <c r="D38" i="25"/>
  <c r="I38" i="25"/>
  <c r="D33" i="22"/>
  <c r="G38" i="25" l="1"/>
  <c r="F38" i="25"/>
  <c r="H38" i="25" s="1"/>
  <c r="B39" i="25" s="1"/>
  <c r="F33" i="22"/>
  <c r="E33" i="22"/>
  <c r="G33" i="22" s="1"/>
  <c r="H33" i="22"/>
  <c r="D39" i="25" l="1"/>
  <c r="C40" i="25"/>
  <c r="E40" i="25" s="1"/>
  <c r="I39" i="25"/>
  <c r="F39" i="25" l="1"/>
  <c r="G39" i="25"/>
  <c r="H39" i="25" l="1"/>
  <c r="B40" i="25" s="1"/>
  <c r="I40" i="25" l="1"/>
  <c r="D40" i="25"/>
  <c r="C41" i="25"/>
  <c r="E41" i="25" s="1"/>
  <c r="F40" i="25" l="1"/>
  <c r="G40" i="25"/>
  <c r="H40" i="25" l="1"/>
  <c r="B41" i="25" s="1"/>
  <c r="C42" i="25" l="1"/>
  <c r="E42" i="25" s="1"/>
  <c r="D41" i="25"/>
  <c r="I41" i="25"/>
  <c r="F41" i="25" l="1"/>
  <c r="G41" i="25"/>
  <c r="H41" i="25" l="1"/>
  <c r="B42" i="25" s="1"/>
  <c r="D42" i="25" l="1"/>
  <c r="C43" i="25"/>
  <c r="E43" i="25" s="1"/>
  <c r="I42" i="25"/>
  <c r="F42" i="25" l="1"/>
  <c r="G42" i="25"/>
  <c r="H42" i="25" l="1"/>
  <c r="B43" i="25" s="1"/>
  <c r="I43" i="25" l="1"/>
  <c r="D43" i="25"/>
  <c r="C44" i="25"/>
  <c r="E44" i="25" s="1"/>
  <c r="F43" i="25" l="1"/>
  <c r="G43" i="25"/>
  <c r="H43" i="25" l="1"/>
  <c r="B44" i="25" s="1"/>
  <c r="C45" i="25" l="1"/>
  <c r="E45" i="25" s="1"/>
  <c r="D44" i="25"/>
  <c r="I44" i="25"/>
  <c r="G44" i="25" l="1"/>
  <c r="F44" i="25"/>
  <c r="H44" i="25" l="1"/>
  <c r="B45" i="25" s="1"/>
  <c r="D45" i="25" l="1"/>
  <c r="I45" i="25"/>
  <c r="C46" i="25"/>
  <c r="E46" i="25" s="1"/>
  <c r="F45" i="25" l="1"/>
  <c r="G45" i="25"/>
  <c r="H45" i="25" l="1"/>
  <c r="B46" i="25" s="1"/>
  <c r="I46" i="25" l="1"/>
  <c r="D46" i="25"/>
  <c r="C47" i="25"/>
  <c r="E47" i="25" s="1"/>
  <c r="F46" i="25" l="1"/>
  <c r="H46" i="25" s="1"/>
  <c r="B47" i="25" s="1"/>
  <c r="G46" i="25"/>
  <c r="D47" i="25" l="1"/>
  <c r="I47" i="25"/>
  <c r="C48" i="25"/>
  <c r="E48" i="25" s="1"/>
  <c r="G47" i="25" l="1"/>
  <c r="F47" i="25"/>
  <c r="H47" i="25" s="1"/>
  <c r="B48" i="25" s="1"/>
  <c r="D48" i="25" l="1"/>
  <c r="I48" i="25"/>
  <c r="G48" i="25" l="1"/>
  <c r="F48" i="25"/>
  <c r="H48" i="25" s="1"/>
</calcChain>
</file>

<file path=xl/sharedStrings.xml><?xml version="1.0" encoding="utf-8"?>
<sst xmlns="http://schemas.openxmlformats.org/spreadsheetml/2006/main" count="825" uniqueCount="441">
  <si>
    <t>Student</t>
  </si>
  <si>
    <t>Stefan Cline</t>
  </si>
  <si>
    <t>Course</t>
  </si>
  <si>
    <t>Math 371 Elementary Computational Methods</t>
  </si>
  <si>
    <t xml:space="preserve">Module </t>
  </si>
  <si>
    <t xml:space="preserve">Homework </t>
  </si>
  <si>
    <t>Contents (per sheet)</t>
  </si>
  <si>
    <t xml:space="preserve"> </t>
  </si>
  <si>
    <t>Problem</t>
  </si>
  <si>
    <t>End Sub</t>
  </si>
  <si>
    <t>*Note: MacroDump sheet is the last sheet in the event something causes the macros not to work. All fully written programs can be viewed there in plain text</t>
  </si>
  <si>
    <t>Rem End of program</t>
  </si>
  <si>
    <t>Lecture Videos</t>
  </si>
  <si>
    <t>*Note LV = Lecture Video</t>
  </si>
  <si>
    <t>Due Oct 11th</t>
  </si>
  <si>
    <t>LV28_If_Then</t>
  </si>
  <si>
    <t xml:space="preserve">Consider the equation: </t>
  </si>
  <si>
    <t xml:space="preserve">Write a program in which the user inputs the coefficients of a quadratic equation and the program displays "equation has two real roots", "equation has 2 complex roots", or "equation has repeated root", both as a screen output and lebeled input/output in spreadsheet. </t>
  </si>
  <si>
    <t xml:space="preserve">User Instructions: </t>
  </si>
  <si>
    <t>2. Press the button labeled LV28_If_Then</t>
  </si>
  <si>
    <t>3. The answer will display itself in the appropriate cells</t>
  </si>
  <si>
    <t xml:space="preserve">User Inputs for Coefficients of: </t>
  </si>
  <si>
    <t>a=</t>
  </si>
  <si>
    <t>b=</t>
  </si>
  <si>
    <t>c=</t>
  </si>
  <si>
    <t>Equation has Two Complex Roots</t>
  </si>
  <si>
    <t>Equation has Two Real Roots</t>
  </si>
  <si>
    <t>Equation has One Repeated Root</t>
  </si>
  <si>
    <t xml:space="preserve">Number and Type of Roots Below in Cell B11: </t>
  </si>
  <si>
    <t xml:space="preserve">*Various input test runs to get complex, real and repeat: </t>
  </si>
  <si>
    <t>1. Input the coefficients into the yellow highlighted cells (C6, C7, C8)</t>
  </si>
  <si>
    <t xml:space="preserve">This program will calculate how many real, complex or repeated roots exist for a,b,c values for the equation: </t>
  </si>
  <si>
    <t>Public Sub LV28_If_Then()</t>
  </si>
  <si>
    <t>Rem This program will take inputs for coefficients a, b and c from</t>
  </si>
  <si>
    <t>' ax^2+bx+c=0 and determine how many roots, real and complex, there</t>
  </si>
  <si>
    <t>' will be. It will then output that answer into Cell B11.</t>
  </si>
  <si>
    <t>Rem First we'll define our variables. In this case a, b, c and det</t>
  </si>
  <si>
    <t>' for determinant</t>
  </si>
  <si>
    <t>Dim a, b, c, det As Double</t>
  </si>
  <si>
    <t>Rem Now we'll get the data from the spreadsheet for the coefficients</t>
  </si>
  <si>
    <t>' and then calculate the value of the determinant</t>
  </si>
  <si>
    <t>a = Cells(6, "C")</t>
  </si>
  <si>
    <t>b = Cells(7, "C")</t>
  </si>
  <si>
    <t>c = Cells(8, "C")</t>
  </si>
  <si>
    <t>det = (b ^ 2) - (4# * a * c)</t>
  </si>
  <si>
    <t>Rem Now we'll determine how many roots and what kind they are and</t>
  </si>
  <si>
    <t>' output the answer as a message box and to the sheet</t>
  </si>
  <si>
    <t>If det &gt; 0 Then</t>
  </si>
  <si>
    <t xml:space="preserve">        MsgBox ("Equation has Two Real Roots")</t>
  </si>
  <si>
    <t xml:space="preserve">        Cells(11, "B") = "Equation has Two Real Roots"</t>
  </si>
  <si>
    <t xml:space="preserve">    Else</t>
  </si>
  <si>
    <t xml:space="preserve">        If det &lt; 0 Then</t>
  </si>
  <si>
    <t xml:space="preserve">            MsgBox ("Equation has Two Complex Roots")</t>
  </si>
  <si>
    <t xml:space="preserve">            Cells(11, "B") = "Equation has Two Complex Roots"</t>
  </si>
  <si>
    <t xml:space="preserve">        Else</t>
  </si>
  <si>
    <t xml:space="preserve">            MsgBox ("Equation has Repeated Root")</t>
  </si>
  <si>
    <t xml:space="preserve">            Cells(11, "B") = "Equation has One Repeated Root"</t>
  </si>
  <si>
    <t xml:space="preserve">        End If</t>
  </si>
  <si>
    <t>End If</t>
  </si>
  <si>
    <t xml:space="preserve">    </t>
  </si>
  <si>
    <t>Macro Dump Page</t>
  </si>
  <si>
    <t>LV29_If_Else_Taxes</t>
  </si>
  <si>
    <t xml:space="preserve">Problem: </t>
  </si>
  <si>
    <t xml:space="preserve">Federal Income Tax marginal rates on taxable income for single individuals in the United States are: </t>
  </si>
  <si>
    <t>Taxable Income</t>
  </si>
  <si>
    <t>$1-$7000</t>
  </si>
  <si>
    <t>$7001-$28,400</t>
  </si>
  <si>
    <t>$28,401 - $68,000</t>
  </si>
  <si>
    <t>$68,001 - $143,300</t>
  </si>
  <si>
    <t>$143,301 - $311,950</t>
  </si>
  <si>
    <t>above $311,950</t>
  </si>
  <si>
    <t>Rate</t>
  </si>
  <si>
    <t>Write a program to input taxable income and compute the tax owed</t>
  </si>
  <si>
    <t>Apply your program to incomes of $25,000, $50,000, $75,000 and $175,000</t>
  </si>
  <si>
    <t xml:space="preserve">Display the results of all calculations (labeled) to the spreadsheet. </t>
  </si>
  <si>
    <t>Input Taxable Income in Cell K8</t>
  </si>
  <si>
    <t>Tax Owed</t>
  </si>
  <si>
    <t>User Instructions</t>
  </si>
  <si>
    <t xml:space="preserve">This program will compute the tax you owe based off of your taxable income. </t>
  </si>
  <si>
    <t xml:space="preserve">2. Click the macro button below to execute the program </t>
  </si>
  <si>
    <t>N/A</t>
  </si>
  <si>
    <t>1. Place your taxable income in the yellow highlighted cell, K8</t>
  </si>
  <si>
    <t>*Desired values from the problem statement</t>
  </si>
  <si>
    <t>LV30_ForLoop_Column</t>
  </si>
  <si>
    <t>Write a program using For Loop to display numbers 1,2,3,…,25 along a column</t>
  </si>
  <si>
    <t>Public Sub LV29_If_Else_Taxes()</t>
  </si>
  <si>
    <t>Rem This program will calculate the tax owed from taxable income</t>
  </si>
  <si>
    <t>' based off of federal rates in the table on the sheet in the</t>
  </si>
  <si>
    <t>' problem statement. By using a series of If and ElseIf Statements</t>
  </si>
  <si>
    <t>' we'll be able to compute this value for the range of all possible</t>
  </si>
  <si>
    <t>' taxable income levels</t>
  </si>
  <si>
    <t>Rem First we'll define our variables and pull the data from the sheet</t>
  </si>
  <si>
    <t>Dim Income As Double</t>
  </si>
  <si>
    <t>Dim Tax As Double</t>
  </si>
  <si>
    <t>Income = Cells(8, "K")</t>
  </si>
  <si>
    <t>Rem Now we'll produce the if and else if statements required to run</t>
  </si>
  <si>
    <t>' the program. Note that each income level gets taxed independently so</t>
  </si>
  <si>
    <t>' we should expect the code to have a waterfall effect. Effectively what's</t>
  </si>
  <si>
    <t>' happening is were taxing the lowest levels in full, and then finding the</t>
  </si>
  <si>
    <t>' difference between cap of the 2nd lowest level and the income then</t>
  </si>
  <si>
    <t>' using that number to find how much that bracket will tax the remainder.</t>
  </si>
  <si>
    <t>' Also we'll have it output tax owed to the user as a message box</t>
  </si>
  <si>
    <t>If Income &gt; 0 And Income &lt;= 7000 Then</t>
  </si>
  <si>
    <t xml:space="preserve">        Tax = Income * 0.1</t>
  </si>
  <si>
    <t xml:space="preserve">        Cells(8, "L") = Tax</t>
  </si>
  <si>
    <t xml:space="preserve">        MsgBox "Your tax owed is: " &amp; Tax</t>
  </si>
  <si>
    <t xml:space="preserve">    ElseIf Income &gt;= 7001 And Income &lt;= 28400 Then</t>
  </si>
  <si>
    <t xml:space="preserve">        Tax = (7000 * 0.1) + ((Income - 7000) * 0.15)</t>
  </si>
  <si>
    <t xml:space="preserve">    ElseIf Income &gt;= 28401 And Income &lt;= 68000 Then</t>
  </si>
  <si>
    <t xml:space="preserve">        Tax = (7000 * 0.1) + (21400 * 0.15) + ((Income - 28400) * 0.25)</t>
  </si>
  <si>
    <t xml:space="preserve">    ElseIf Income &gt;= 68001 And Income &lt;= 143300 Then</t>
  </si>
  <si>
    <t xml:space="preserve">        Tax = (7000 * 0.1) + (21400 * 0.15) + (39600 * 0.25) + ((Income - 68000) * 0.28)</t>
  </si>
  <si>
    <t xml:space="preserve">    ElseIf Income &gt;= 143300 And Income &lt;= 311950 Then</t>
  </si>
  <si>
    <t xml:space="preserve">        Tax = (7000 * 0.1) + (21400 * 0.15) + (39600 * 0.25) + (75300 * 0.28) + ((Income - 143300) * 0.33)</t>
  </si>
  <si>
    <t xml:space="preserve">    ElseIf Income &gt; 311950 Then</t>
  </si>
  <si>
    <t xml:space="preserve">        Tax = (7000 * 0.1) + (21400 * 0.15) + (39600 * 0.25) + (75300 * 0.28) + (168650 * 0.33) + ((Income - 311950) * 0.35)</t>
  </si>
  <si>
    <t xml:space="preserve">        MsgBox ("Please enter a valid whole number greater than or equal to zero in Cell K8")</t>
  </si>
  <si>
    <t xml:space="preserve">        Cells(8, "L") = "N/A"</t>
  </si>
  <si>
    <t>This program will produce the numbers 1 through 25 along column B</t>
  </si>
  <si>
    <t>1. Press the button to display the numbers</t>
  </si>
  <si>
    <t>Numbers Below</t>
  </si>
  <si>
    <t>*copy pasted from a test run of the macro</t>
  </si>
  <si>
    <t>Public Sub LV30_ForLoop_Column()</t>
  </si>
  <si>
    <t>Rem This program is a simple For Loop to produce the numbers</t>
  </si>
  <si>
    <t>' 1 through 25 in column B</t>
  </si>
  <si>
    <t>Rem We will first define the variable i and then put the loop in</t>
  </si>
  <si>
    <t>' that will put a number in each cell in a column sequentially</t>
  </si>
  <si>
    <t>Dim i As Integer</t>
  </si>
  <si>
    <t>For i = 1 To 25</t>
  </si>
  <si>
    <t xml:space="preserve">    Cells(i + 11, "B") = i</t>
  </si>
  <si>
    <t>Next i</t>
  </si>
  <si>
    <t>LV31_Odd_Sum_Loop</t>
  </si>
  <si>
    <t>Write a program computing the sum 1+3+5+7+…+99 and output labeled result to spreadsheet</t>
  </si>
  <si>
    <t xml:space="preserve">This program will compute the sum of all of the odd values from 1 to 99. </t>
  </si>
  <si>
    <t>Iteration, i</t>
  </si>
  <si>
    <t>Sum</t>
  </si>
  <si>
    <t>1. Click the macro button and the results will be displayed in columns A, B and C</t>
  </si>
  <si>
    <t>Final Sum</t>
  </si>
  <si>
    <t>Sub LV31_Odd_Sum_Loop()</t>
  </si>
  <si>
    <t>Rem This program will compute the sum of all of the odd values from 1 to 99</t>
  </si>
  <si>
    <t>' using a for loop</t>
  </si>
  <si>
    <t>Rem First we'll declare our variables</t>
  </si>
  <si>
    <t>Dim sum As Integer</t>
  </si>
  <si>
    <t>Rem Now we'll make the loop to calculate the Sum and start the sum at 0</t>
  </si>
  <si>
    <t>sum = 0</t>
  </si>
  <si>
    <t>Cells(8, "A") = "Iteration, i"</t>
  </si>
  <si>
    <t>Cells(8, "B") = "Sum"</t>
  </si>
  <si>
    <t>For i = 1 To 99 Step 2</t>
  </si>
  <si>
    <t xml:space="preserve">    sum = i + sum</t>
  </si>
  <si>
    <t xml:space="preserve">    Cells(1 / 2 * i + 17 / 2, "A") = i</t>
  </si>
  <si>
    <t xml:space="preserve">    Cells(1 / 2 * i + 17 / 2, "B") = sum</t>
  </si>
  <si>
    <t>Rem We'll output the final value now next to the top of the table</t>
  </si>
  <si>
    <t>Cells(8, "C") = "Final Sum"</t>
  </si>
  <si>
    <t>Cells(9, "C") = sum</t>
  </si>
  <si>
    <t>Rem End of Program</t>
  </si>
  <si>
    <t>LV32a2_MacL_ATan</t>
  </si>
  <si>
    <t>This program will calculate the value of arctan for a given value of x</t>
  </si>
  <si>
    <t>2. Input the desired tolerance into the yellow hightlighted cell (i.e. current approximaton - last)</t>
  </si>
  <si>
    <r>
      <t xml:space="preserve">1. Input the value of x that's desired in the yellow highlighted cell in </t>
    </r>
    <r>
      <rPr>
        <b/>
        <sz val="11"/>
        <color theme="1"/>
        <rFont val="Calibri"/>
        <family val="2"/>
        <scheme val="minor"/>
      </rPr>
      <t>degrees</t>
    </r>
  </si>
  <si>
    <t>User Input Values</t>
  </si>
  <si>
    <t xml:space="preserve">x= </t>
  </si>
  <si>
    <t xml:space="preserve">Tolerance = </t>
  </si>
  <si>
    <t>Value</t>
  </si>
  <si>
    <t>Iteration</t>
  </si>
  <si>
    <t xml:space="preserve">Approximation </t>
  </si>
  <si>
    <t>Final Approximation=</t>
  </si>
  <si>
    <t>Total Iterations=</t>
  </si>
  <si>
    <t xml:space="preserve">x in radians= </t>
  </si>
  <si>
    <t>Calculated Value</t>
  </si>
  <si>
    <t>3. The data will then be output to the sheet in the appropriate cells</t>
  </si>
  <si>
    <t>Public Sub LV32a2_MacL_ATan()</t>
  </si>
  <si>
    <t>Rem This program will calculate the the value of any given x for arctan(x)</t>
  </si>
  <si>
    <t>' and also to the given tolerance that's desired. The program will also</t>
  </si>
  <si>
    <t>' have a fail safe that will kill the program in the event that the</t>
  </si>
  <si>
    <t>' value isn't converging, i.e. it won't run forever.</t>
  </si>
  <si>
    <t>Rem first let's define all of our required variables</t>
  </si>
  <si>
    <t>Dim sum, x, pi, Last, Tol, Error As Double</t>
  </si>
  <si>
    <t>Dim n, i, p As Integer</t>
  </si>
  <si>
    <t>Rem We'll now use trig to create a value for pi and convert our degrees to</t>
  </si>
  <si>
    <t>' radians, and then output it to the sheet as a reference</t>
  </si>
  <si>
    <t>pi = (Atn(1)) * 4</t>
  </si>
  <si>
    <t>x = Cells(3, "E")</t>
  </si>
  <si>
    <t>x = x * pi / 180</t>
  </si>
  <si>
    <t>Cells(3, "G") = x</t>
  </si>
  <si>
    <t>Rem Now we'll program a loop to continuously add the new approximation to the last</t>
  </si>
  <si>
    <t>' one, and we'll also create a counter to make sure we don't have the program go on forever</t>
  </si>
  <si>
    <t>' We'll establish first that the sum=0, n=0, i=1, error=10 to give us a starting</t>
  </si>
  <si>
    <t>' point that can be easily iterated.</t>
  </si>
  <si>
    <t>' Also we'll pull the Tolerance value, Tol, from the sheet.</t>
  </si>
  <si>
    <t>' Note: i stops at 10 because the approximation rapidly converges after the 3rd iteration</t>
  </si>
  <si>
    <t>' Note: due to the values being odd in the equation (1,3,5, etc), n has been defined as an</t>
  </si>
  <si>
    <t>'       odd value using the generic formula of n = 2i+1</t>
  </si>
  <si>
    <t>' Note: using the odd value of i we can then avoid another variable by simply saying -1^i</t>
  </si>
  <si>
    <t>'       i.e. as i goes up by 1 every loop -1 toggles between postivie and negative</t>
  </si>
  <si>
    <t>' Note: we don't update the error value until the second loop because it should be comparing</t>
  </si>
  <si>
    <t>'       something to an actually calculated value</t>
  </si>
  <si>
    <t>n = 0</t>
  </si>
  <si>
    <t>i = 0</t>
  </si>
  <si>
    <t>Tol = Cells(4, "E")</t>
  </si>
  <si>
    <t>Error = 10</t>
  </si>
  <si>
    <t>Do While i &lt; 11 And Error &gt; Tol</t>
  </si>
  <si>
    <t xml:space="preserve">    Last = sum</t>
  </si>
  <si>
    <t xml:space="preserve">    n = 2 * i + 1</t>
  </si>
  <si>
    <t xml:space="preserve">    sum = sum + ((x ^ n) / n) * ((-1) ^ (i))</t>
  </si>
  <si>
    <t xml:space="preserve">    i = i + 1</t>
  </si>
  <si>
    <t xml:space="preserve">    Cells(6 + i, "D") = i</t>
  </si>
  <si>
    <t xml:space="preserve">    Cells(6 + i, "E") = sum</t>
  </si>
  <si>
    <t xml:space="preserve">    If i &gt; 1 Then</t>
  </si>
  <si>
    <t xml:space="preserve">        Error = Abs(Last - sum)</t>
  </si>
  <si>
    <t xml:space="preserve">    End If</t>
  </si>
  <si>
    <t>Loop</t>
  </si>
  <si>
    <t>Rem 'Lastly we'll output the final approximations and iterations to the sheet at the top</t>
  </si>
  <si>
    <t>Cells(6, "G") = sum</t>
  </si>
  <si>
    <t>Cells(7, "G") = i</t>
  </si>
  <si>
    <t xml:space="preserve">*Produced after executing the macro for the desired values </t>
  </si>
  <si>
    <t>Textbook: Chapter 5</t>
  </si>
  <si>
    <t>Exercise 5.14</t>
  </si>
  <si>
    <t>Exercise 5.15</t>
  </si>
  <si>
    <t>Textbook: Chapter 7</t>
  </si>
  <si>
    <t>Exercise 5.14 (use VBA)</t>
  </si>
  <si>
    <t>Exercise 5.15 (use VBA)</t>
  </si>
  <si>
    <t>Exercise 7.2 (use Excel Spreadsheet)</t>
  </si>
  <si>
    <t>Assignments</t>
  </si>
  <si>
    <t>#3 Use Excel - Trapezoid Rule with n=14</t>
  </si>
  <si>
    <t>#4 Use Excel - Do #3 but with Simpson's 1/3 rule n=14</t>
  </si>
  <si>
    <t>#5 Use Excel - Trapezoid Rule with n=16</t>
  </si>
  <si>
    <t xml:space="preserve">#6 </t>
  </si>
  <si>
    <t>b. Solve using Excel Spreadsheet</t>
  </si>
  <si>
    <t>c. Write VBA Program to Solve</t>
  </si>
  <si>
    <t>Write a program to evaluate the following integral with the trapezoid rule with 16 intervals</t>
  </si>
  <si>
    <t xml:space="preserve">Solution: </t>
  </si>
  <si>
    <t>User Input</t>
  </si>
  <si>
    <t>n=</t>
  </si>
  <si>
    <t>Variable</t>
  </si>
  <si>
    <t>2. Click the macro button below to run the program for the equation listed in the problem statement to run at the desired value for n intervals</t>
  </si>
  <si>
    <t>Calculation Output Table</t>
  </si>
  <si>
    <t>Approximation for Desired n, a, and b below</t>
  </si>
  <si>
    <t>1. Place the number of intervals "n", value for a, "a", and value for b, "b", into the highlighted cells</t>
  </si>
  <si>
    <t>*Test run done using the macro button, the copy pasted into these cells</t>
  </si>
  <si>
    <t>Write a program to evaluate the integral in Exercise 5.14 using Simpson's 1/3 rule with the trapezoid rule with 16 intervals</t>
  </si>
  <si>
    <t>Solution</t>
  </si>
  <si>
    <t>3. The output should be listed in the the table below (Note* done with Simpson's 1/3 rule)</t>
  </si>
  <si>
    <t>3. The output should be listed in the the table below (Note* done with trapezoid rule)</t>
  </si>
  <si>
    <t>Value (deg to rad)</t>
  </si>
  <si>
    <t>Assignment 3</t>
  </si>
  <si>
    <t>Use excel (not VBA) to evaluate the following integral using the Trapezoid Rule with n=14</t>
  </si>
  <si>
    <t xml:space="preserve"> =(C13-C12)/C11</t>
  </si>
  <si>
    <t>Initial Input</t>
  </si>
  <si>
    <t xml:space="preserve"> =C14/2</t>
  </si>
  <si>
    <t xml:space="preserve"> =$C$12+(cell with i *$C$14)</t>
  </si>
  <si>
    <t>factor</t>
  </si>
  <si>
    <t xml:space="preserve"> =SQRT((1-(B25^2)))</t>
  </si>
  <si>
    <t xml:space="preserve"> =E33*C15</t>
  </si>
  <si>
    <t>Use excel (not VBA) to evaluate the following integral using Simpson's 1/3 Rule with n=14</t>
  </si>
  <si>
    <t>Assignment 4</t>
  </si>
  <si>
    <t xml:space="preserve"> =C14/3</t>
  </si>
  <si>
    <t>Assignment 5</t>
  </si>
  <si>
    <t>Consider the integral</t>
  </si>
  <si>
    <t xml:space="preserve">Evaluate this integral with the trapezoid rule and 16 intervals in excel (not VBA). </t>
  </si>
  <si>
    <t xml:space="preserve">Our formula for the trapezoid rule is the following: </t>
  </si>
  <si>
    <t>Variables</t>
  </si>
  <si>
    <t>Values</t>
  </si>
  <si>
    <t>Formula / Input</t>
  </si>
  <si>
    <t xml:space="preserve"> =$C$12+(A:cell with i *$C$14)</t>
  </si>
  <si>
    <t xml:space="preserve"> =$C$14+(A21*C16) (A21 = i value)</t>
  </si>
  <si>
    <t>Our equation for simpson's 1/3 rules is the following:</t>
  </si>
  <si>
    <r>
      <t>In this last line we now take the calculation of our integral and multiply it by the constant in front of the integral, 2/</t>
    </r>
    <r>
      <rPr>
        <sz val="11"/>
        <color theme="1"/>
        <rFont val="Segoe UI Symbol"/>
        <family val="2"/>
      </rPr>
      <t>π</t>
    </r>
  </si>
  <si>
    <t>Our integral evaluation here seems to match well with our graph. The graph displays a value slightly less than .8 (1 times .8 would be a square box)</t>
  </si>
  <si>
    <t xml:space="preserve">Initial Input: 2/pi() </t>
  </si>
  <si>
    <t xml:space="preserve"> =F21*C18</t>
  </si>
  <si>
    <t>Our final approximation here seems to fit with being roughly 3/4 of our overall area under the curve</t>
  </si>
  <si>
    <t>Assignment 6b</t>
  </si>
  <si>
    <t xml:space="preserve">Consider the function </t>
  </si>
  <si>
    <t xml:space="preserve">and the starting value of </t>
  </si>
  <si>
    <t>Solve using excel spreadsheet</t>
  </si>
  <si>
    <t>x_</t>
  </si>
  <si>
    <t xml:space="preserve">From initially doing the problem by hand we saw that our f(x) and f'(x) were the following: </t>
  </si>
  <si>
    <t xml:space="preserve">Also we used the formula for the Newton-Raphson method: </t>
  </si>
  <si>
    <t xml:space="preserve">Lastly our Approximate Relative Error was calculated using: </t>
  </si>
  <si>
    <t>From</t>
  </si>
  <si>
    <t>To</t>
  </si>
  <si>
    <t>x_0</t>
  </si>
  <si>
    <t>x_4</t>
  </si>
  <si>
    <t>x_21</t>
  </si>
  <si>
    <t>x_6</t>
  </si>
  <si>
    <t>x_1</t>
  </si>
  <si>
    <t>x_2</t>
  </si>
  <si>
    <t>x_3</t>
  </si>
  <si>
    <t>x_5</t>
  </si>
  <si>
    <t>x_7</t>
  </si>
  <si>
    <t>x_8</t>
  </si>
  <si>
    <t>x_9</t>
  </si>
  <si>
    <t>x_10</t>
  </si>
  <si>
    <t>x_11</t>
  </si>
  <si>
    <t>x_12</t>
  </si>
  <si>
    <t>x_13</t>
  </si>
  <si>
    <t>x_14</t>
  </si>
  <si>
    <t>x_15</t>
  </si>
  <si>
    <t>x_16</t>
  </si>
  <si>
    <t>x_17</t>
  </si>
  <si>
    <t>x_18</t>
  </si>
  <si>
    <t>x_19</t>
  </si>
  <si>
    <t>x_20</t>
  </si>
  <si>
    <t xml:space="preserve">x_2 </t>
  </si>
  <si>
    <t>x_22</t>
  </si>
  <si>
    <t>x_23</t>
  </si>
  <si>
    <t>x_24</t>
  </si>
  <si>
    <t>x_25</t>
  </si>
  <si>
    <t>Formulas used:</t>
  </si>
  <si>
    <t>Solve using VBA</t>
  </si>
  <si>
    <t>This program will perform a number of Newton-Raphson method iterations for the specified function in the problem statement</t>
  </si>
  <si>
    <t>As such, the program below provides these computations. We expected a value around -3.2 and here we converge on ~-3.18306</t>
  </si>
  <si>
    <t xml:space="preserve">We make an interesting note, our quick calculations on excel allow us to realize that our x_0 value eventually does converge </t>
  </si>
  <si>
    <t>*Produced after running the macro, this gives the same values as our calculations from parts a and b of problem 6</t>
  </si>
  <si>
    <t>1. Press the macro button below to run the program and give the desired x_0 value</t>
  </si>
  <si>
    <t>2. Also note that if the approximate relative error is below 0.0000001 or 30 iterations have occurred the program will terminate</t>
  </si>
  <si>
    <t>Public Sub Exercise_5_14()</t>
  </si>
  <si>
    <t>Rem This program will take in 3 values, n, a, and b and then compute the approximation</t>
  </si>
  <si>
    <t>' for the integral in the problem statement. It will also list the individual computations</t>
  </si>
  <si>
    <t>' for the values along the way. The final approximation will be listed at the top</t>
  </si>
  <si>
    <t>' of the spreadsheet in the specified cell. (Trapezoid Rule)</t>
  </si>
  <si>
    <t>Rem First we'll define our variables</t>
  </si>
  <si>
    <t>Dim sum, a, b, del_x, int_val As Double</t>
  </si>
  <si>
    <t>Dim n, i As Integer</t>
  </si>
  <si>
    <t>Rem Next we'll go ahead and compute our delta x and find our interval length so we have</t>
  </si>
  <si>
    <t>' something to go off of for every computation of f(x) at each step. Also we'll grab the</t>
  </si>
  <si>
    <t>' specified values from the spreadsheet that the user was supposed to input.</t>
  </si>
  <si>
    <t>' Lastly here we'll terminate the program if a &gt;= b or n &lt; 1</t>
  </si>
  <si>
    <t>n = Cells(15, "C")</t>
  </si>
  <si>
    <t>a = Cells(16, "C")</t>
  </si>
  <si>
    <t>b = Cells(17, "C")</t>
  </si>
  <si>
    <t>If a &gt;= b Then</t>
  </si>
  <si>
    <t xml:space="preserve">    GoTo 1:</t>
  </si>
  <si>
    <t>If n &lt; 1 Then</t>
  </si>
  <si>
    <t>del_x = (b - a) / n</t>
  </si>
  <si>
    <t>Cells(20, "C") = del_x</t>
  </si>
  <si>
    <t>Rem Now we'll set up the interval calculations and give our values their initial inputs</t>
  </si>
  <si>
    <t>' so our loop functions correctly</t>
  </si>
  <si>
    <t>Do While i &lt; n + 1</t>
  </si>
  <si>
    <t xml:space="preserve">    Cells(22 + i, "B") = i</t>
  </si>
  <si>
    <t xml:space="preserve">    If i = 0 Or i = n Then</t>
  </si>
  <si>
    <t xml:space="preserve">            int_val = ((0.002 * ((4 * (a + (i * del_x)) ^ 2) - ((a + (i * del_x)) ^ 3)) / ((0.1 + (Sin(0.063 * (a + (i * del_x))))))))</t>
  </si>
  <si>
    <t xml:space="preserve">            sum = sum + int_val</t>
  </si>
  <si>
    <t xml:space="preserve">            Cells(22 + i, "C") = int_val</t>
  </si>
  <si>
    <t xml:space="preserve">            i = i + 1</t>
  </si>
  <si>
    <t xml:space="preserve">            int_val = 2 * ((0.002 * ((4 * (a + (i * del_x)) ^ 2) - ((a + (i * del_x)) ^ 3)) / ((0.1 + (Sin(0.063 * (a + (i * del_x))))))))</t>
  </si>
  <si>
    <t>Rem Now we'll put our total of all the summed intervals into the output cell, then we'll go ahead</t>
  </si>
  <si>
    <t>' and re-define sum to be our final approximation</t>
  </si>
  <si>
    <t>Cells(20, "E") = sum</t>
  </si>
  <si>
    <t>sum = del_x / 2 * sum</t>
  </si>
  <si>
    <t>Cells(21, "E") = sum</t>
  </si>
  <si>
    <t>Rem Lastly we'll output our result into the applicable cell at the top of the table and tell the user the macro is done</t>
  </si>
  <si>
    <t>Cells(15, "E") = sum</t>
  </si>
  <si>
    <t>MsgBox "Computation Complete, Approximation = " &amp; sum</t>
  </si>
  <si>
    <t xml:space="preserve">    MsgBox "Program Terminated, Error: a must be less than b"</t>
  </si>
  <si>
    <t xml:space="preserve">    MsgBox "Program Terminated, Error: n must be greater than 0"</t>
  </si>
  <si>
    <t>Public Sub Exercise_5_15()</t>
  </si>
  <si>
    <t>' of the spreadsheet in the specified cell. (Simpson's 1/3 Rule)</t>
  </si>
  <si>
    <t xml:space="preserve">            ' a or b</t>
  </si>
  <si>
    <t xml:space="preserve">        ElseIf i Mod 2 = 1 Then</t>
  </si>
  <si>
    <t xml:space="preserve">            'odd</t>
  </si>
  <si>
    <t xml:space="preserve">            int_val = 4 * ((0.002 * ((4 * (a + (i * del_x)) ^ 2) - ((a + (i * del_x)) ^ 3)) / ((0.1 + (Sin(0.063 * (a + (i * del_x))))))))</t>
  </si>
  <si>
    <t xml:space="preserve">            'even</t>
  </si>
  <si>
    <t>sum = del_x / 3 * sum</t>
  </si>
  <si>
    <t xml:space="preserve">    MsgBox "Program Terminated, Error: n must be greater than 1"</t>
  </si>
  <si>
    <t>Public Sub Assignment_6c()</t>
  </si>
  <si>
    <t>Rem this program will calculate the Newton-Raphson method for the function f(x)=e^x-sinx</t>
  </si>
  <si>
    <t>' it will take the user input x_0 value and produce the appropriate f(x), f'(x), and</t>
  </si>
  <si>
    <t>' approximation values for each x_n</t>
  </si>
  <si>
    <t>Rem First we'll define all of our variables that will be used in our iterative process</t>
  </si>
  <si>
    <t>Dim x_n, x_np1, f_x, fpx, x_prev, arel_er As Double</t>
  </si>
  <si>
    <t>Rem We'll now take the user input from the spreadsheet</t>
  </si>
  <si>
    <t>x_n = InputBox("Enter the desired x_0 value.")</t>
  </si>
  <si>
    <t>MsgBox "User entered value for x_0 = " &amp; x_n</t>
  </si>
  <si>
    <t>Rem We will create a loop for calculating the iterations of the NewtonRaphson method</t>
  </si>
  <si>
    <t>' we'll also provide our starting conditions so the program has a set of baseline</t>
  </si>
  <si>
    <t>' values to use</t>
  </si>
  <si>
    <t>'       Note: our function for f(x)=e^x-sinx (f_x)</t>
  </si>
  <si>
    <t>'       Note: our function for f'(x)=e^x-cosx (fpx)</t>
  </si>
  <si>
    <t>'       Note: x_(n+1) is x_np1</t>
  </si>
  <si>
    <t>'       Note: arel_er set initially to 10 so that the program will run</t>
  </si>
  <si>
    <t>arel_er = 10</t>
  </si>
  <si>
    <t>Do While i &gt; -1 And i &lt; 31 And arel_er &gt; 0.0000001</t>
  </si>
  <si>
    <t xml:space="preserve">    Cells(14 + i, "C") = "x_"</t>
  </si>
  <si>
    <t xml:space="preserve">    Cells(14 + i, "D") = i</t>
  </si>
  <si>
    <t xml:space="preserve">    Cells(14 + i, "E") = x_n</t>
  </si>
  <si>
    <t xml:space="preserve">    f_x = (Exp(x_n)) - Sin(x_n)</t>
  </si>
  <si>
    <t xml:space="preserve">    Cells(14 + i, "F") = f_x</t>
  </si>
  <si>
    <t xml:space="preserve">    fpx = (Exp(x_n)) - Cos(x_n)</t>
  </si>
  <si>
    <t xml:space="preserve">    Cells(14 + i, "G") = fpx</t>
  </si>
  <si>
    <t xml:space="preserve">    x_np1 = x_n - (f_x / fpx)</t>
  </si>
  <si>
    <t xml:space="preserve">    Cells(14 + i, "H") = x_np1</t>
  </si>
  <si>
    <t xml:space="preserve">        If i &gt; 0 Then</t>
  </si>
  <si>
    <t xml:space="preserve">            arel_er = Abs((x_n - x_prev) / x_n) * 100</t>
  </si>
  <si>
    <t xml:space="preserve">            Cells(14 + i, "I") = arel_er</t>
  </si>
  <si>
    <t xml:space="preserve">    x_prev = x_n</t>
  </si>
  <si>
    <t xml:space="preserve">    x_n = x_np1</t>
  </si>
  <si>
    <t xml:space="preserve">    If arel_er &gt; 0.0000001 Then</t>
  </si>
  <si>
    <t xml:space="preserve">        Cells(15 + i, "J") = "x_" &amp; i</t>
  </si>
  <si>
    <t xml:space="preserve">        Cells(15 + i, "K") = "x_" &amp; i + 1</t>
  </si>
  <si>
    <t xml:space="preserve">        If i &gt; 30 Then</t>
  </si>
  <si>
    <t xml:space="preserve">            MsgBox "The program terminated because the approximation failed to converge or converged on the 30th iteration"</t>
  </si>
  <si>
    <t>Rem We'll inform the user that the program is done and show them the calculated value</t>
  </si>
  <si>
    <t>MsgBox "Program complete, Approximation = " &amp; x_np1</t>
  </si>
  <si>
    <t xml:space="preserve"> 1:</t>
  </si>
  <si>
    <t>Textbook 7.2</t>
  </si>
  <si>
    <t>Numerator</t>
  </si>
  <si>
    <t>Denominator</t>
  </si>
  <si>
    <t xml:space="preserve">Consider the equation specified in Exercise 7.1. Apply the secant rule to this equation for 3 iterations beyond the starting values. </t>
  </si>
  <si>
    <t xml:space="preserve">Compute the approximate relative errors for each iteration. </t>
  </si>
  <si>
    <t>a. Use x=2.0 and x=4.0 as starting values</t>
  </si>
  <si>
    <t>b. Use x=1.0 and x=1.5 as starting values</t>
  </si>
  <si>
    <t xml:space="preserve">Equation from 7.1: </t>
  </si>
  <si>
    <t xml:space="preserve">Note: Equation for approximate relative error: </t>
  </si>
  <si>
    <t>Part a)</t>
  </si>
  <si>
    <t>Note: Equation for the secant rule:</t>
  </si>
  <si>
    <t>This appears to be correct graphically (value only displays 4.22 but the input value was: 4.2209534941</t>
  </si>
  <si>
    <t>Part b)</t>
  </si>
  <si>
    <t xml:space="preserve">It appears that our initial starting values selected did not reduce our overall error or help us to converge. As such it is clear that setting our initial values at 1 and 1.5 were bad starting estimates. </t>
  </si>
  <si>
    <t>Also due to the nature of our function (being a function with tangent) we're also attempting to compute a different root value</t>
  </si>
  <si>
    <t>without significant meaning</t>
  </si>
  <si>
    <t>Lastly, we can see that our second iteration then leads to the next approximations not being "on the same curve" or section of the function. So all of the subsequent iterations yield values</t>
  </si>
  <si>
    <t xml:space="preserve"> =G33</t>
  </si>
  <si>
    <t xml:space="preserve"> =(EXP(D34))-SIN(D34)</t>
  </si>
  <si>
    <t xml:space="preserve"> =EXP(D34)-COS(D34)</t>
  </si>
  <si>
    <t xml:space="preserve"> =D34-(E34/F34)</t>
  </si>
  <si>
    <t xml:space="preserve"> =ABS((D34-D33)/D34)*100</t>
  </si>
  <si>
    <t>(same formulas as above)</t>
  </si>
  <si>
    <t>(last x_(n+1)</t>
  </si>
  <si>
    <t>(last x_n)</t>
  </si>
  <si>
    <t xml:space="preserve"> =TAN(B18)-SIN(B18)-2.75</t>
  </si>
  <si>
    <t xml:space="preserve"> =TAN(C18)-SIN(C18)-2.75</t>
  </si>
  <si>
    <t xml:space="preserve"> =D18*(B18-C18)</t>
  </si>
  <si>
    <t xml:space="preserve"> =D18-E18</t>
  </si>
  <si>
    <t xml:space="preserve"> =B18-(F18/G18)</t>
  </si>
  <si>
    <t xml:space="preserve"> =ABS((B18-C18)/B18)*100</t>
  </si>
  <si>
    <t>Formulas used</t>
  </si>
  <si>
    <t>We should note that any value outside of the bounds of [-1,1] will always end up terminating</t>
  </si>
  <si>
    <t xml:space="preserve">due to hitting the defined limits. If x is greater then these values then it will fail to converge </t>
  </si>
  <si>
    <t>thereby causing our error to take off exponentially which means there will be no end to our</t>
  </si>
  <si>
    <t xml:space="preserve">iterations.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</si>
</sst>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00000E+00"/>
    <numFmt numFmtId="165" formatCode="0.000000000000E+00"/>
    <numFmt numFmtId="166" formatCode="0.000000000000000"/>
    <numFmt numFmtId="167" formatCode="0.00000000"/>
    <numFmt numFmtId="168" formatCode="0.0000000000"/>
  </numFmts>
  <fonts count="8" x14ac:knownFonts="1">
    <font>
      <sz val="11"/>
      <color theme="1"/>
      <name val="Calibri"/>
      <family val="2"/>
      <scheme val="minor"/>
    </font>
    <font>
      <b/>
      <sz val="11"/>
      <color theme="1"/>
      <name val="Calibri"/>
      <family val="2"/>
      <scheme val="minor"/>
    </font>
    <font>
      <sz val="12"/>
      <color theme="1"/>
      <name val="Calibri"/>
      <family val="2"/>
      <scheme val="minor"/>
    </font>
    <font>
      <b/>
      <sz val="12"/>
      <color theme="1"/>
      <name val="Calibri"/>
      <family val="2"/>
      <scheme val="minor"/>
    </font>
    <font>
      <i/>
      <sz val="11"/>
      <color theme="1"/>
      <name val="Calibri"/>
      <family val="2"/>
      <scheme val="minor"/>
    </font>
    <font>
      <sz val="8"/>
      <name val="Calibri"/>
      <family val="2"/>
      <scheme val="minor"/>
    </font>
    <font>
      <sz val="11"/>
      <color rgb="FF000000"/>
      <name val="Calibri"/>
      <family val="2"/>
    </font>
    <font>
      <sz val="11"/>
      <color theme="1"/>
      <name val="Segoe UI Symbol"/>
      <family val="2"/>
    </font>
  </fonts>
  <fills count="6">
    <fill>
      <patternFill patternType="none"/>
    </fill>
    <fill>
      <patternFill patternType="gray125"/>
    </fill>
    <fill>
      <patternFill patternType="solid">
        <fgColor rgb="FFFFFF0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1">
    <xf numFmtId="0" fontId="0" fillId="0" borderId="0"/>
  </cellStyleXfs>
  <cellXfs count="69">
    <xf numFmtId="0" fontId="0" fillId="0" borderId="0" xfId="0"/>
    <xf numFmtId="0" fontId="2" fillId="0" borderId="0" xfId="0" applyFont="1"/>
    <xf numFmtId="0" fontId="2" fillId="0" borderId="0" xfId="0" applyFont="1" applyAlignment="1">
      <alignment horizontal="left"/>
    </xf>
    <xf numFmtId="0" fontId="3" fillId="0" borderId="0" xfId="0" applyFont="1"/>
    <xf numFmtId="0" fontId="1" fillId="0" borderId="0" xfId="0" applyFont="1"/>
    <xf numFmtId="0" fontId="2" fillId="0" borderId="0" xfId="0" applyFont="1" applyAlignment="1">
      <alignment horizontal="right"/>
    </xf>
    <xf numFmtId="0" fontId="0" fillId="0" borderId="0" xfId="0" applyAlignment="1">
      <alignment horizontal="right"/>
    </xf>
    <xf numFmtId="0" fontId="4" fillId="0" borderId="0" xfId="0" applyFont="1"/>
    <xf numFmtId="0" fontId="0" fillId="0" borderId="1" xfId="0" applyBorder="1"/>
    <xf numFmtId="0" fontId="0" fillId="0" borderId="0" xfId="0" applyAlignment="1">
      <alignment vertical="top" wrapText="1"/>
    </xf>
    <xf numFmtId="0" fontId="0" fillId="2" borderId="1" xfId="0" applyFill="1" applyBorder="1"/>
    <xf numFmtId="0" fontId="0" fillId="0" borderId="0" xfId="0" applyAlignment="1">
      <alignment horizontal="left" vertical="center"/>
    </xf>
    <xf numFmtId="0" fontId="0" fillId="2" borderId="0" xfId="0" applyFill="1"/>
    <xf numFmtId="0" fontId="0" fillId="0" borderId="1" xfId="0" applyBorder="1" applyAlignment="1">
      <alignment horizontal="right"/>
    </xf>
    <xf numFmtId="0" fontId="0" fillId="0" borderId="0" xfId="0" applyFill="1" applyBorder="1" applyAlignment="1">
      <alignment horizontal="left"/>
    </xf>
    <xf numFmtId="0" fontId="4" fillId="0" borderId="0" xfId="0" applyFont="1" applyAlignment="1">
      <alignment horizontal="right"/>
    </xf>
    <xf numFmtId="0" fontId="3" fillId="3" borderId="0" xfId="0" applyFont="1" applyFill="1"/>
    <xf numFmtId="49" fontId="0" fillId="0" borderId="0" xfId="0" applyNumberFormat="1"/>
    <xf numFmtId="9" fontId="0" fillId="0" borderId="0" xfId="0" applyNumberFormat="1"/>
    <xf numFmtId="0" fontId="1" fillId="0" borderId="1" xfId="0" applyFont="1" applyBorder="1"/>
    <xf numFmtId="0" fontId="0" fillId="0" borderId="2" xfId="0" applyBorder="1"/>
    <xf numFmtId="0" fontId="4" fillId="0" borderId="0" xfId="0" applyFont="1" applyAlignment="1">
      <alignment horizontal="left"/>
    </xf>
    <xf numFmtId="164" fontId="0" fillId="0" borderId="1" xfId="0" applyNumberFormat="1" applyBorder="1"/>
    <xf numFmtId="0" fontId="0" fillId="0" borderId="1" xfId="0" applyBorder="1" applyAlignment="1">
      <alignment horizontal="center"/>
    </xf>
    <xf numFmtId="0" fontId="0" fillId="0" borderId="3" xfId="0" applyBorder="1" applyAlignment="1">
      <alignment horizontal="right"/>
    </xf>
    <xf numFmtId="165" fontId="0" fillId="0" borderId="1" xfId="0" applyNumberFormat="1" applyBorder="1"/>
    <xf numFmtId="166" fontId="0" fillId="0" borderId="1" xfId="0" applyNumberFormat="1" applyBorder="1"/>
    <xf numFmtId="0" fontId="0" fillId="4" borderId="0" xfId="0" applyFill="1"/>
    <xf numFmtId="0" fontId="0" fillId="0" borderId="0" xfId="0" applyFill="1" applyBorder="1"/>
    <xf numFmtId="0" fontId="0" fillId="0" borderId="1" xfId="0" applyFill="1" applyBorder="1"/>
    <xf numFmtId="0" fontId="0" fillId="0" borderId="1" xfId="0" applyBorder="1" applyAlignment="1">
      <alignment wrapText="1"/>
    </xf>
    <xf numFmtId="0" fontId="0" fillId="0" borderId="1" xfId="0" applyFill="1" applyBorder="1" applyAlignment="1">
      <alignment horizontal="right"/>
    </xf>
    <xf numFmtId="0" fontId="0" fillId="0" borderId="1" xfId="0" applyBorder="1" applyAlignment="1">
      <alignment horizontal="center" vertical="center"/>
    </xf>
    <xf numFmtId="0" fontId="0" fillId="0" borderId="1" xfId="0" applyFill="1" applyBorder="1" applyAlignment="1">
      <alignment horizontal="center" vertical="center"/>
    </xf>
    <xf numFmtId="0" fontId="0" fillId="0" borderId="0" xfId="0" applyFill="1" applyBorder="1" applyAlignment="1">
      <alignment horizontal="right"/>
    </xf>
    <xf numFmtId="0" fontId="0" fillId="0" borderId="0" xfId="0" applyFill="1" applyBorder="1" applyAlignment="1">
      <alignment wrapText="1"/>
    </xf>
    <xf numFmtId="0" fontId="4" fillId="0" borderId="0" xfId="0" applyFont="1" applyAlignment="1">
      <alignment horizontal="left" vertical="center"/>
    </xf>
    <xf numFmtId="0" fontId="0" fillId="0" borderId="1" xfId="0" applyFill="1" applyBorder="1" applyAlignment="1"/>
    <xf numFmtId="0" fontId="4" fillId="0" borderId="0" xfId="0" applyFont="1" applyFill="1" applyBorder="1" applyAlignment="1">
      <alignment horizontal="right"/>
    </xf>
    <xf numFmtId="166" fontId="0" fillId="0" borderId="0" xfId="0" applyNumberFormat="1" applyFill="1" applyBorder="1"/>
    <xf numFmtId="167" fontId="0" fillId="2" borderId="1" xfId="0" applyNumberFormat="1" applyFill="1" applyBorder="1"/>
    <xf numFmtId="167" fontId="0" fillId="0" borderId="1" xfId="0" applyNumberFormat="1" applyFill="1" applyBorder="1"/>
    <xf numFmtId="0" fontId="0" fillId="0" borderId="0" xfId="0" applyFont="1" applyFill="1" applyBorder="1"/>
    <xf numFmtId="167" fontId="0" fillId="2" borderId="0" xfId="0" applyNumberFormat="1" applyFill="1"/>
    <xf numFmtId="0" fontId="0" fillId="0" borderId="0" xfId="0" applyAlignment="1">
      <alignment vertical="center"/>
    </xf>
    <xf numFmtId="0" fontId="0" fillId="0" borderId="0" xfId="0" applyAlignment="1">
      <alignment horizontal="left"/>
    </xf>
    <xf numFmtId="0" fontId="0" fillId="0" borderId="1" xfId="0" applyBorder="1" applyAlignment="1">
      <alignment horizontal="left"/>
    </xf>
    <xf numFmtId="168" fontId="0" fillId="0" borderId="1" xfId="0" applyNumberFormat="1" applyBorder="1"/>
    <xf numFmtId="0" fontId="1" fillId="5" borderId="1" xfId="0" applyFont="1" applyFill="1" applyBorder="1" applyAlignment="1">
      <alignment horizontal="center"/>
    </xf>
    <xf numFmtId="0" fontId="0" fillId="4" borderId="1" xfId="0" applyFill="1" applyBorder="1" applyAlignment="1">
      <alignment horizontal="left"/>
    </xf>
    <xf numFmtId="0" fontId="0" fillId="4" borderId="1" xfId="0" applyFill="1" applyBorder="1"/>
    <xf numFmtId="0" fontId="0" fillId="0" borderId="4" xfId="0" applyBorder="1" applyAlignment="1">
      <alignment horizontal="right"/>
    </xf>
    <xf numFmtId="167" fontId="0" fillId="0" borderId="1" xfId="0" applyNumberFormat="1" applyFont="1" applyBorder="1"/>
    <xf numFmtId="0" fontId="4" fillId="0" borderId="0" xfId="0" applyFont="1" applyAlignment="1">
      <alignment vertical="center"/>
    </xf>
    <xf numFmtId="20" fontId="0" fillId="0" borderId="0" xfId="0" applyNumberFormat="1"/>
    <xf numFmtId="0" fontId="4" fillId="0" borderId="0" xfId="0" applyFont="1" applyAlignment="1">
      <alignment horizontal="left" vertical="top" wrapText="1"/>
    </xf>
    <xf numFmtId="0" fontId="0" fillId="0" borderId="1" xfId="0" applyBorder="1" applyAlignment="1">
      <alignment horizontal="center"/>
    </xf>
    <xf numFmtId="0" fontId="0" fillId="0" borderId="1" xfId="0" applyBorder="1" applyAlignment="1">
      <alignment horizontal="center" vertical="center" wrapText="1"/>
    </xf>
    <xf numFmtId="0" fontId="1" fillId="0" borderId="1" xfId="0" applyFont="1" applyBorder="1" applyAlignment="1">
      <alignment horizontal="center" vertical="center"/>
    </xf>
    <xf numFmtId="167" fontId="0" fillId="0" borderId="1" xfId="0" applyNumberFormat="1" applyBorder="1"/>
    <xf numFmtId="0" fontId="0" fillId="0" borderId="0" xfId="0" applyAlignment="1">
      <alignment horizontal="left" indent="2"/>
    </xf>
    <xf numFmtId="0" fontId="0" fillId="0" borderId="0" xfId="0" applyAlignment="1">
      <alignment horizontal="left" vertical="top"/>
    </xf>
    <xf numFmtId="0" fontId="0" fillId="0" borderId="0" xfId="0" applyFill="1"/>
    <xf numFmtId="0" fontId="0" fillId="0" borderId="0" xfId="0" applyFill="1" applyAlignment="1">
      <alignment horizontal="left" indent="2"/>
    </xf>
    <xf numFmtId="0" fontId="0" fillId="0" borderId="0" xfId="0" applyBorder="1"/>
    <xf numFmtId="167" fontId="0" fillId="4" borderId="0" xfId="0" applyNumberFormat="1" applyFill="1" applyBorder="1"/>
    <xf numFmtId="0" fontId="0" fillId="4" borderId="0" xfId="0" applyFill="1" applyBorder="1" applyAlignment="1">
      <alignment horizontal="left" vertical="center"/>
    </xf>
    <xf numFmtId="0" fontId="0" fillId="4" borderId="0" xfId="0" applyFill="1" applyBorder="1" applyAlignment="1">
      <alignment horizontal="center" vertical="center"/>
    </xf>
    <xf numFmtId="0" fontId="1" fillId="5" borderId="1" xfId="0"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5.png"/></Relationships>
</file>

<file path=xl/drawings/_rels/drawing13.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oneCellAnchor>
    <xdr:from>
      <xdr:col>0</xdr:col>
      <xdr:colOff>1581150</xdr:colOff>
      <xdr:row>2</xdr:row>
      <xdr:rowOff>52387</xdr:rowOff>
    </xdr:from>
    <xdr:ext cx="1183657" cy="191334"/>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581150" y="433387"/>
              <a:ext cx="1183657" cy="1913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𝑎</m:t>
                    </m:r>
                    <m:sSup>
                      <m:sSupPr>
                        <m:ctrlPr>
                          <a:rPr lang="en-US" sz="1200" b="0" i="1">
                            <a:latin typeface="Cambria Math" panose="02040503050406030204" pitchFamily="18" charset="0"/>
                          </a:rPr>
                        </m:ctrlPr>
                      </m:sSupPr>
                      <m:e>
                        <m:r>
                          <a:rPr lang="en-US" sz="1200" b="0" i="1">
                            <a:latin typeface="Cambria Math" panose="02040503050406030204" pitchFamily="18" charset="0"/>
                          </a:rPr>
                          <m:t>𝑥</m:t>
                        </m:r>
                      </m:e>
                      <m:sup>
                        <m:r>
                          <a:rPr lang="en-US" sz="1200" b="0" i="1">
                            <a:latin typeface="Cambria Math" panose="02040503050406030204" pitchFamily="18" charset="0"/>
                          </a:rPr>
                          <m:t>2</m:t>
                        </m:r>
                      </m:sup>
                    </m:sSup>
                    <m:r>
                      <a:rPr lang="en-US" sz="1200" b="0" i="1">
                        <a:latin typeface="Cambria Math" panose="02040503050406030204" pitchFamily="18" charset="0"/>
                      </a:rPr>
                      <m:t>+</m:t>
                    </m:r>
                    <m:r>
                      <a:rPr lang="en-US" sz="1200" b="0" i="1">
                        <a:latin typeface="Cambria Math" panose="02040503050406030204" pitchFamily="18" charset="0"/>
                      </a:rPr>
                      <m:t>𝑏𝑥</m:t>
                    </m:r>
                    <m:r>
                      <a:rPr lang="en-US" sz="1200" b="0" i="1">
                        <a:latin typeface="Cambria Math" panose="02040503050406030204" pitchFamily="18" charset="0"/>
                      </a:rPr>
                      <m:t>+</m:t>
                    </m:r>
                    <m:r>
                      <a:rPr lang="en-US" sz="1200" b="0" i="1">
                        <a:latin typeface="Cambria Math" panose="02040503050406030204" pitchFamily="18" charset="0"/>
                      </a:rPr>
                      <m:t>𝑐</m:t>
                    </m:r>
                    <m:r>
                      <a:rPr lang="en-US" sz="1200" b="0" i="1">
                        <a:latin typeface="Cambria Math" panose="02040503050406030204" pitchFamily="18" charset="0"/>
                      </a:rPr>
                      <m:t>=0</m:t>
                    </m:r>
                  </m:oMath>
                </m:oMathPara>
              </a14:m>
              <a:endParaRPr lang="en-US" sz="1200"/>
            </a:p>
          </xdr:txBody>
        </xdr:sp>
      </mc:Choice>
      <mc:Fallback xmlns="">
        <xdr:sp macro="" textlink="">
          <xdr:nvSpPr>
            <xdr:cNvPr id="2" name="TextBox 1">
              <a:extLst>
                <a:ext uri="{FF2B5EF4-FFF2-40B4-BE49-F238E27FC236}">
                  <a16:creationId xmlns:a16="http://schemas.microsoft.com/office/drawing/2014/main" id="{BAB545AD-A5AA-428E-8A69-19D56A0E329C}"/>
                </a:ext>
              </a:extLst>
            </xdr:cNvPr>
            <xdr:cNvSpPr txBox="1"/>
          </xdr:nvSpPr>
          <xdr:spPr>
            <a:xfrm>
              <a:off x="1581150" y="433387"/>
              <a:ext cx="1183657" cy="1913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200" b="0" i="0">
                  <a:latin typeface="Cambria Math" panose="02040503050406030204" pitchFamily="18" charset="0"/>
                </a:rPr>
                <a:t>𝑎𝑥^2+𝑏𝑥+𝑐=0</a:t>
              </a:r>
              <a:endParaRPr lang="en-US" sz="1200"/>
            </a:p>
          </xdr:txBody>
        </xdr:sp>
      </mc:Fallback>
    </mc:AlternateContent>
    <xdr:clientData/>
  </xdr:oneCellAnchor>
  <xdr:oneCellAnchor>
    <xdr:from>
      <xdr:col>4</xdr:col>
      <xdr:colOff>0</xdr:colOff>
      <xdr:row>4</xdr:row>
      <xdr:rowOff>0</xdr:rowOff>
    </xdr:from>
    <xdr:ext cx="1183657" cy="191334"/>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7200900" y="1447800"/>
              <a:ext cx="1183657" cy="1913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𝑎</m:t>
                    </m:r>
                    <m:sSup>
                      <m:sSupPr>
                        <m:ctrlPr>
                          <a:rPr lang="en-US" sz="1200" b="0" i="1">
                            <a:latin typeface="Cambria Math" panose="02040503050406030204" pitchFamily="18" charset="0"/>
                          </a:rPr>
                        </m:ctrlPr>
                      </m:sSupPr>
                      <m:e>
                        <m:r>
                          <a:rPr lang="en-US" sz="1200" b="0" i="1">
                            <a:latin typeface="Cambria Math" panose="02040503050406030204" pitchFamily="18" charset="0"/>
                          </a:rPr>
                          <m:t>𝑥</m:t>
                        </m:r>
                      </m:e>
                      <m:sup>
                        <m:r>
                          <a:rPr lang="en-US" sz="1200" b="0" i="1">
                            <a:latin typeface="Cambria Math" panose="02040503050406030204" pitchFamily="18" charset="0"/>
                          </a:rPr>
                          <m:t>2</m:t>
                        </m:r>
                      </m:sup>
                    </m:sSup>
                    <m:r>
                      <a:rPr lang="en-US" sz="1200" b="0" i="1">
                        <a:latin typeface="Cambria Math" panose="02040503050406030204" pitchFamily="18" charset="0"/>
                      </a:rPr>
                      <m:t>+</m:t>
                    </m:r>
                    <m:r>
                      <a:rPr lang="en-US" sz="1200" b="0" i="1">
                        <a:latin typeface="Cambria Math" panose="02040503050406030204" pitchFamily="18" charset="0"/>
                      </a:rPr>
                      <m:t>𝑏𝑥</m:t>
                    </m:r>
                    <m:r>
                      <a:rPr lang="en-US" sz="1200" b="0" i="1">
                        <a:latin typeface="Cambria Math" panose="02040503050406030204" pitchFamily="18" charset="0"/>
                      </a:rPr>
                      <m:t>+</m:t>
                    </m:r>
                    <m:r>
                      <a:rPr lang="en-US" sz="1200" b="0" i="1">
                        <a:latin typeface="Cambria Math" panose="02040503050406030204" pitchFamily="18" charset="0"/>
                      </a:rPr>
                      <m:t>𝑐</m:t>
                    </m:r>
                    <m:r>
                      <a:rPr lang="en-US" sz="1200" b="0" i="1">
                        <a:latin typeface="Cambria Math" panose="02040503050406030204" pitchFamily="18" charset="0"/>
                      </a:rPr>
                      <m:t>=0</m:t>
                    </m:r>
                  </m:oMath>
                </m:oMathPara>
              </a14:m>
              <a:endParaRPr lang="en-US" sz="1200"/>
            </a:p>
          </xdr:txBody>
        </xdr:sp>
      </mc:Choice>
      <mc:Fallback xmlns="">
        <xdr:sp macro="" textlink="">
          <xdr:nvSpPr>
            <xdr:cNvPr id="3" name="TextBox 2">
              <a:extLst>
                <a:ext uri="{FF2B5EF4-FFF2-40B4-BE49-F238E27FC236}">
                  <a16:creationId xmlns:a16="http://schemas.microsoft.com/office/drawing/2014/main" id="{2F0AC46F-3F8E-4D64-A279-DC0227384862}"/>
                </a:ext>
              </a:extLst>
            </xdr:cNvPr>
            <xdr:cNvSpPr txBox="1"/>
          </xdr:nvSpPr>
          <xdr:spPr>
            <a:xfrm>
              <a:off x="7200900" y="1447800"/>
              <a:ext cx="1183657" cy="1913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200" b="0" i="0">
                  <a:latin typeface="Cambria Math" panose="02040503050406030204" pitchFamily="18" charset="0"/>
                </a:rPr>
                <a:t>𝑎𝑥^2+𝑏𝑥+𝑐=0</a:t>
              </a:r>
              <a:endParaRPr lang="en-US" sz="1200"/>
            </a:p>
          </xdr:txBody>
        </xdr:sp>
      </mc:Fallback>
    </mc:AlternateContent>
    <xdr:clientData/>
  </xdr:oneCellAnchor>
  <mc:AlternateContent xmlns:mc="http://schemas.openxmlformats.org/markup-compatibility/2006">
    <mc:Choice xmlns:a14="http://schemas.microsoft.com/office/drawing/2010/main" Requires="a14">
      <xdr:twoCellAnchor editAs="oneCell">
        <xdr:from>
          <xdr:col>0</xdr:col>
          <xdr:colOff>161925</xdr:colOff>
          <xdr:row>11</xdr:row>
          <xdr:rowOff>66675</xdr:rowOff>
        </xdr:from>
        <xdr:to>
          <xdr:col>0</xdr:col>
          <xdr:colOff>2066925</xdr:colOff>
          <xdr:row>13</xdr:row>
          <xdr:rowOff>104775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LV28_If_Then</a:t>
              </a:r>
            </a:p>
          </xdr:txBody>
        </xdr:sp>
        <xdr:clientData fPrintsWithSheet="0"/>
      </xdr:twoCellAnchor>
    </mc:Choice>
    <mc:Fallback/>
  </mc:AlternateContent>
  <xdr:oneCellAnchor>
    <xdr:from>
      <xdr:col>4</xdr:col>
      <xdr:colOff>0</xdr:colOff>
      <xdr:row>18</xdr:row>
      <xdr:rowOff>0</xdr:rowOff>
    </xdr:from>
    <xdr:ext cx="1183657" cy="191334"/>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7200900" y="1447800"/>
              <a:ext cx="1183657" cy="1913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𝑎</m:t>
                    </m:r>
                    <m:sSup>
                      <m:sSupPr>
                        <m:ctrlPr>
                          <a:rPr lang="en-US" sz="1200" b="0" i="1">
                            <a:latin typeface="Cambria Math" panose="02040503050406030204" pitchFamily="18" charset="0"/>
                          </a:rPr>
                        </m:ctrlPr>
                      </m:sSupPr>
                      <m:e>
                        <m:r>
                          <a:rPr lang="en-US" sz="1200" b="0" i="1">
                            <a:latin typeface="Cambria Math" panose="02040503050406030204" pitchFamily="18" charset="0"/>
                          </a:rPr>
                          <m:t>𝑥</m:t>
                        </m:r>
                      </m:e>
                      <m:sup>
                        <m:r>
                          <a:rPr lang="en-US" sz="1200" b="0" i="1">
                            <a:latin typeface="Cambria Math" panose="02040503050406030204" pitchFamily="18" charset="0"/>
                          </a:rPr>
                          <m:t>2</m:t>
                        </m:r>
                      </m:sup>
                    </m:sSup>
                    <m:r>
                      <a:rPr lang="en-US" sz="1200" b="0" i="1">
                        <a:latin typeface="Cambria Math" panose="02040503050406030204" pitchFamily="18" charset="0"/>
                      </a:rPr>
                      <m:t>+</m:t>
                    </m:r>
                    <m:r>
                      <a:rPr lang="en-US" sz="1200" b="0" i="1">
                        <a:latin typeface="Cambria Math" panose="02040503050406030204" pitchFamily="18" charset="0"/>
                      </a:rPr>
                      <m:t>𝑏𝑥</m:t>
                    </m:r>
                    <m:r>
                      <a:rPr lang="en-US" sz="1200" b="0" i="1">
                        <a:latin typeface="Cambria Math" panose="02040503050406030204" pitchFamily="18" charset="0"/>
                      </a:rPr>
                      <m:t>+</m:t>
                    </m:r>
                    <m:r>
                      <a:rPr lang="en-US" sz="1200" b="0" i="1">
                        <a:latin typeface="Cambria Math" panose="02040503050406030204" pitchFamily="18" charset="0"/>
                      </a:rPr>
                      <m:t>𝑐</m:t>
                    </m:r>
                    <m:r>
                      <a:rPr lang="en-US" sz="1200" b="0" i="1">
                        <a:latin typeface="Cambria Math" panose="02040503050406030204" pitchFamily="18" charset="0"/>
                      </a:rPr>
                      <m:t>=0</m:t>
                    </m:r>
                  </m:oMath>
                </m:oMathPara>
              </a14:m>
              <a:endParaRPr lang="en-US" sz="1200"/>
            </a:p>
          </xdr:txBody>
        </xdr:sp>
      </mc:Choice>
      <mc:Fallback xmlns="">
        <xdr:sp macro="" textlink="">
          <xdr:nvSpPr>
            <xdr:cNvPr id="5" name="TextBox 4">
              <a:extLst>
                <a:ext uri="{FF2B5EF4-FFF2-40B4-BE49-F238E27FC236}">
                  <a16:creationId xmlns:a16="http://schemas.microsoft.com/office/drawing/2014/main" id="{78CDE20A-5DEF-4F13-855E-97DB5D260E1D}"/>
                </a:ext>
              </a:extLst>
            </xdr:cNvPr>
            <xdr:cNvSpPr txBox="1"/>
          </xdr:nvSpPr>
          <xdr:spPr>
            <a:xfrm>
              <a:off x="7200900" y="1447800"/>
              <a:ext cx="1183657" cy="1913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200" b="0" i="0">
                  <a:latin typeface="Cambria Math" panose="02040503050406030204" pitchFamily="18" charset="0"/>
                </a:rPr>
                <a:t>𝑎𝑥^2+𝑏𝑥+𝑐=0</a:t>
              </a:r>
              <a:endParaRPr lang="en-US" sz="1200"/>
            </a:p>
          </xdr:txBody>
        </xdr:sp>
      </mc:Fallback>
    </mc:AlternateContent>
    <xdr:clientData/>
  </xdr:oneCellAnchor>
  <xdr:oneCellAnchor>
    <xdr:from>
      <xdr:col>4</xdr:col>
      <xdr:colOff>0</xdr:colOff>
      <xdr:row>26</xdr:row>
      <xdr:rowOff>0</xdr:rowOff>
    </xdr:from>
    <xdr:ext cx="1183657" cy="191334"/>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7200900" y="1447800"/>
              <a:ext cx="1183657" cy="1913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𝑎</m:t>
                    </m:r>
                    <m:sSup>
                      <m:sSupPr>
                        <m:ctrlPr>
                          <a:rPr lang="en-US" sz="1200" b="0" i="1">
                            <a:latin typeface="Cambria Math" panose="02040503050406030204" pitchFamily="18" charset="0"/>
                          </a:rPr>
                        </m:ctrlPr>
                      </m:sSupPr>
                      <m:e>
                        <m:r>
                          <a:rPr lang="en-US" sz="1200" b="0" i="1">
                            <a:latin typeface="Cambria Math" panose="02040503050406030204" pitchFamily="18" charset="0"/>
                          </a:rPr>
                          <m:t>𝑥</m:t>
                        </m:r>
                      </m:e>
                      <m:sup>
                        <m:r>
                          <a:rPr lang="en-US" sz="1200" b="0" i="1">
                            <a:latin typeface="Cambria Math" panose="02040503050406030204" pitchFamily="18" charset="0"/>
                          </a:rPr>
                          <m:t>2</m:t>
                        </m:r>
                      </m:sup>
                    </m:sSup>
                    <m:r>
                      <a:rPr lang="en-US" sz="1200" b="0" i="1">
                        <a:latin typeface="Cambria Math" panose="02040503050406030204" pitchFamily="18" charset="0"/>
                      </a:rPr>
                      <m:t>+</m:t>
                    </m:r>
                    <m:r>
                      <a:rPr lang="en-US" sz="1200" b="0" i="1">
                        <a:latin typeface="Cambria Math" panose="02040503050406030204" pitchFamily="18" charset="0"/>
                      </a:rPr>
                      <m:t>𝑏𝑥</m:t>
                    </m:r>
                    <m:r>
                      <a:rPr lang="en-US" sz="1200" b="0" i="1">
                        <a:latin typeface="Cambria Math" panose="02040503050406030204" pitchFamily="18" charset="0"/>
                      </a:rPr>
                      <m:t>+</m:t>
                    </m:r>
                    <m:r>
                      <a:rPr lang="en-US" sz="1200" b="0" i="1">
                        <a:latin typeface="Cambria Math" panose="02040503050406030204" pitchFamily="18" charset="0"/>
                      </a:rPr>
                      <m:t>𝑐</m:t>
                    </m:r>
                    <m:r>
                      <a:rPr lang="en-US" sz="1200" b="0" i="1">
                        <a:latin typeface="Cambria Math" panose="02040503050406030204" pitchFamily="18" charset="0"/>
                      </a:rPr>
                      <m:t>=0</m:t>
                    </m:r>
                  </m:oMath>
                </m:oMathPara>
              </a14:m>
              <a:endParaRPr lang="en-US" sz="1200"/>
            </a:p>
          </xdr:txBody>
        </xdr:sp>
      </mc:Choice>
      <mc:Fallback xmlns="">
        <xdr:sp macro="" textlink="">
          <xdr:nvSpPr>
            <xdr:cNvPr id="6" name="TextBox 5">
              <a:extLst>
                <a:ext uri="{FF2B5EF4-FFF2-40B4-BE49-F238E27FC236}">
                  <a16:creationId xmlns:a16="http://schemas.microsoft.com/office/drawing/2014/main" id="{EBE5DAAB-3146-4A26-8256-BF3489F712A7}"/>
                </a:ext>
              </a:extLst>
            </xdr:cNvPr>
            <xdr:cNvSpPr txBox="1"/>
          </xdr:nvSpPr>
          <xdr:spPr>
            <a:xfrm>
              <a:off x="7200900" y="1447800"/>
              <a:ext cx="1183657" cy="1913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200" b="0" i="0">
                  <a:latin typeface="Cambria Math" panose="02040503050406030204" pitchFamily="18" charset="0"/>
                </a:rPr>
                <a:t>𝑎𝑥^2+𝑏𝑥+𝑐=0</a:t>
              </a:r>
              <a:endParaRPr lang="en-US" sz="1200"/>
            </a:p>
          </xdr:txBody>
        </xdr:sp>
      </mc:Fallback>
    </mc:AlternateContent>
    <xdr:clientData/>
  </xdr:oneCellAnchor>
  <xdr:oneCellAnchor>
    <xdr:from>
      <xdr:col>4</xdr:col>
      <xdr:colOff>0</xdr:colOff>
      <xdr:row>34</xdr:row>
      <xdr:rowOff>0</xdr:rowOff>
    </xdr:from>
    <xdr:ext cx="1183657" cy="191334"/>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7200900" y="1447800"/>
              <a:ext cx="1183657" cy="1913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𝑎</m:t>
                    </m:r>
                    <m:sSup>
                      <m:sSupPr>
                        <m:ctrlPr>
                          <a:rPr lang="en-US" sz="1200" b="0" i="1">
                            <a:latin typeface="Cambria Math" panose="02040503050406030204" pitchFamily="18" charset="0"/>
                          </a:rPr>
                        </m:ctrlPr>
                      </m:sSupPr>
                      <m:e>
                        <m:r>
                          <a:rPr lang="en-US" sz="1200" b="0" i="1">
                            <a:latin typeface="Cambria Math" panose="02040503050406030204" pitchFamily="18" charset="0"/>
                          </a:rPr>
                          <m:t>𝑥</m:t>
                        </m:r>
                      </m:e>
                      <m:sup>
                        <m:r>
                          <a:rPr lang="en-US" sz="1200" b="0" i="1">
                            <a:latin typeface="Cambria Math" panose="02040503050406030204" pitchFamily="18" charset="0"/>
                          </a:rPr>
                          <m:t>2</m:t>
                        </m:r>
                      </m:sup>
                    </m:sSup>
                    <m:r>
                      <a:rPr lang="en-US" sz="1200" b="0" i="1">
                        <a:latin typeface="Cambria Math" panose="02040503050406030204" pitchFamily="18" charset="0"/>
                      </a:rPr>
                      <m:t>+</m:t>
                    </m:r>
                    <m:r>
                      <a:rPr lang="en-US" sz="1200" b="0" i="1">
                        <a:latin typeface="Cambria Math" panose="02040503050406030204" pitchFamily="18" charset="0"/>
                      </a:rPr>
                      <m:t>𝑏𝑥</m:t>
                    </m:r>
                    <m:r>
                      <a:rPr lang="en-US" sz="1200" b="0" i="1">
                        <a:latin typeface="Cambria Math" panose="02040503050406030204" pitchFamily="18" charset="0"/>
                      </a:rPr>
                      <m:t>+</m:t>
                    </m:r>
                    <m:r>
                      <a:rPr lang="en-US" sz="1200" b="0" i="1">
                        <a:latin typeface="Cambria Math" panose="02040503050406030204" pitchFamily="18" charset="0"/>
                      </a:rPr>
                      <m:t>𝑐</m:t>
                    </m:r>
                    <m:r>
                      <a:rPr lang="en-US" sz="1200" b="0" i="1">
                        <a:latin typeface="Cambria Math" panose="02040503050406030204" pitchFamily="18" charset="0"/>
                      </a:rPr>
                      <m:t>=0</m:t>
                    </m:r>
                  </m:oMath>
                </m:oMathPara>
              </a14:m>
              <a:endParaRPr lang="en-US" sz="1200"/>
            </a:p>
          </xdr:txBody>
        </xdr:sp>
      </mc:Choice>
      <mc:Fallback xmlns="">
        <xdr:sp macro="" textlink="">
          <xdr:nvSpPr>
            <xdr:cNvPr id="7" name="TextBox 6">
              <a:extLst>
                <a:ext uri="{FF2B5EF4-FFF2-40B4-BE49-F238E27FC236}">
                  <a16:creationId xmlns:a16="http://schemas.microsoft.com/office/drawing/2014/main" id="{49BCB37D-405D-4BEC-84A0-4D08D7DF2DE6}"/>
                </a:ext>
              </a:extLst>
            </xdr:cNvPr>
            <xdr:cNvSpPr txBox="1"/>
          </xdr:nvSpPr>
          <xdr:spPr>
            <a:xfrm>
              <a:off x="7200900" y="1447800"/>
              <a:ext cx="1183657" cy="1913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200" b="0" i="0">
                  <a:latin typeface="Cambria Math" panose="02040503050406030204" pitchFamily="18" charset="0"/>
                </a:rPr>
                <a:t>𝑎𝑥^2+𝑏𝑥+𝑐=0</a:t>
              </a:r>
              <a:endParaRPr lang="en-US" sz="1200"/>
            </a:p>
          </xdr:txBody>
        </xdr:sp>
      </mc:Fallback>
    </mc:AlternateContent>
    <xdr:clientData/>
  </xdr:oneCellAnchor>
  <xdr:oneCellAnchor>
    <xdr:from>
      <xdr:col>0</xdr:col>
      <xdr:colOff>6448425</xdr:colOff>
      <xdr:row>6</xdr:row>
      <xdr:rowOff>9525</xdr:rowOff>
    </xdr:from>
    <xdr:ext cx="1183657" cy="191334"/>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6448425" y="1838325"/>
              <a:ext cx="1183657" cy="1913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𝑎</m:t>
                    </m:r>
                    <m:sSup>
                      <m:sSupPr>
                        <m:ctrlPr>
                          <a:rPr lang="en-US" sz="1200" b="0" i="1">
                            <a:latin typeface="Cambria Math" panose="02040503050406030204" pitchFamily="18" charset="0"/>
                          </a:rPr>
                        </m:ctrlPr>
                      </m:sSupPr>
                      <m:e>
                        <m:r>
                          <a:rPr lang="en-US" sz="1200" b="0" i="1">
                            <a:latin typeface="Cambria Math" panose="02040503050406030204" pitchFamily="18" charset="0"/>
                          </a:rPr>
                          <m:t>𝑥</m:t>
                        </m:r>
                      </m:e>
                      <m:sup>
                        <m:r>
                          <a:rPr lang="en-US" sz="1200" b="0" i="1">
                            <a:latin typeface="Cambria Math" panose="02040503050406030204" pitchFamily="18" charset="0"/>
                          </a:rPr>
                          <m:t>2</m:t>
                        </m:r>
                      </m:sup>
                    </m:sSup>
                    <m:r>
                      <a:rPr lang="en-US" sz="1200" b="0" i="1">
                        <a:latin typeface="Cambria Math" panose="02040503050406030204" pitchFamily="18" charset="0"/>
                      </a:rPr>
                      <m:t>+</m:t>
                    </m:r>
                    <m:r>
                      <a:rPr lang="en-US" sz="1200" b="0" i="1">
                        <a:latin typeface="Cambria Math" panose="02040503050406030204" pitchFamily="18" charset="0"/>
                      </a:rPr>
                      <m:t>𝑏𝑥</m:t>
                    </m:r>
                    <m:r>
                      <a:rPr lang="en-US" sz="1200" b="0" i="1">
                        <a:latin typeface="Cambria Math" panose="02040503050406030204" pitchFamily="18" charset="0"/>
                      </a:rPr>
                      <m:t>+</m:t>
                    </m:r>
                    <m:r>
                      <a:rPr lang="en-US" sz="1200" b="0" i="1">
                        <a:latin typeface="Cambria Math" panose="02040503050406030204" pitchFamily="18" charset="0"/>
                      </a:rPr>
                      <m:t>𝑐</m:t>
                    </m:r>
                    <m:r>
                      <a:rPr lang="en-US" sz="1200" b="0" i="1">
                        <a:latin typeface="Cambria Math" panose="02040503050406030204" pitchFamily="18" charset="0"/>
                      </a:rPr>
                      <m:t>=0</m:t>
                    </m:r>
                  </m:oMath>
                </m:oMathPara>
              </a14:m>
              <a:endParaRPr lang="en-US" sz="1200"/>
            </a:p>
          </xdr:txBody>
        </xdr:sp>
      </mc:Choice>
      <mc:Fallback xmlns="">
        <xdr:sp macro="" textlink="">
          <xdr:nvSpPr>
            <xdr:cNvPr id="8" name="TextBox 7">
              <a:extLst>
                <a:ext uri="{FF2B5EF4-FFF2-40B4-BE49-F238E27FC236}">
                  <a16:creationId xmlns:a16="http://schemas.microsoft.com/office/drawing/2014/main" id="{656EDD44-D241-4B9D-B70C-2A97B95239B7}"/>
                </a:ext>
              </a:extLst>
            </xdr:cNvPr>
            <xdr:cNvSpPr txBox="1"/>
          </xdr:nvSpPr>
          <xdr:spPr>
            <a:xfrm>
              <a:off x="6448425" y="1838325"/>
              <a:ext cx="1183657" cy="1913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200" b="0" i="0">
                  <a:latin typeface="Cambria Math" panose="02040503050406030204" pitchFamily="18" charset="0"/>
                </a:rPr>
                <a:t>𝑎𝑥^2+𝑏𝑥+𝑐=0</a:t>
              </a:r>
              <a:endParaRPr lang="en-US" sz="12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266700</xdr:colOff>
          <xdr:row>22</xdr:row>
          <xdr:rowOff>133350</xdr:rowOff>
        </xdr:from>
        <xdr:to>
          <xdr:col>4</xdr:col>
          <xdr:colOff>76200</xdr:colOff>
          <xdr:row>25</xdr:row>
          <xdr:rowOff>104775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LV29_If_Else_Taxes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219075</xdr:colOff>
          <xdr:row>6</xdr:row>
          <xdr:rowOff>133350</xdr:rowOff>
        </xdr:from>
        <xdr:to>
          <xdr:col>5</xdr:col>
          <xdr:colOff>381000</xdr:colOff>
          <xdr:row>9</xdr:row>
          <xdr:rowOff>19050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LV30_ForLoop_Column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190500</xdr:colOff>
          <xdr:row>6</xdr:row>
          <xdr:rowOff>152400</xdr:rowOff>
        </xdr:from>
        <xdr:to>
          <xdr:col>9</xdr:col>
          <xdr:colOff>85725</xdr:colOff>
          <xdr:row>9</xdr:row>
          <xdr:rowOff>47625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LV31_Odd_Sum_Loop</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57150</xdr:colOff>
      <xdr:row>1</xdr:row>
      <xdr:rowOff>76200</xdr:rowOff>
    </xdr:from>
    <xdr:to>
      <xdr:col>1</xdr:col>
      <xdr:colOff>5715000</xdr:colOff>
      <xdr:row>8</xdr:row>
      <xdr:rowOff>104775</xdr:rowOff>
    </xdr:to>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666750" y="266700"/>
              <a:ext cx="5657850" cy="1362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 MacLaurin series expansion for the inverse tangent is </a:t>
              </a:r>
            </a:p>
            <a:p>
              <a:endParaRPr lang="en-US" sz="1100"/>
            </a:p>
            <a:p>
              <a:pPr/>
              <a14:m>
                <m:oMathPara xmlns:m="http://schemas.openxmlformats.org/officeDocument/2006/math">
                  <m:oMathParaPr>
                    <m:jc m:val="centerGroup"/>
                  </m:oMathParaPr>
                  <m:oMath xmlns:m="http://schemas.openxmlformats.org/officeDocument/2006/math">
                    <m:func>
                      <m:funcPr>
                        <m:ctrlPr>
                          <a:rPr lang="en-US" sz="1100" b="0" i="1">
                            <a:solidFill>
                              <a:schemeClr val="dk1"/>
                            </a:solidFill>
                            <a:effectLst/>
                            <a:latin typeface="Cambria Math" panose="02040503050406030204" pitchFamily="18" charset="0"/>
                            <a:ea typeface="+mn-ea"/>
                            <a:cs typeface="+mn-cs"/>
                          </a:rPr>
                        </m:ctrlPr>
                      </m:funcPr>
                      <m:fName>
                        <m:sSup>
                          <m:sSupPr>
                            <m:ctrlPr>
                              <a:rPr lang="en-US" sz="1100" b="0" i="1">
                                <a:solidFill>
                                  <a:schemeClr val="dk1"/>
                                </a:solidFill>
                                <a:effectLst/>
                                <a:latin typeface="Cambria Math" panose="02040503050406030204" pitchFamily="18" charset="0"/>
                                <a:ea typeface="+mn-ea"/>
                                <a:cs typeface="+mn-cs"/>
                              </a:rPr>
                            </m:ctrlPr>
                          </m:sSupPr>
                          <m:e>
                            <m:r>
                              <m:rPr>
                                <m:sty m:val="p"/>
                              </m:rPr>
                              <a:rPr lang="en-US" sz="1100" b="0" i="0">
                                <a:solidFill>
                                  <a:schemeClr val="dk1"/>
                                </a:solidFill>
                                <a:effectLst/>
                                <a:latin typeface="Cambria Math" panose="02040503050406030204" pitchFamily="18" charset="0"/>
                                <a:ea typeface="+mn-ea"/>
                                <a:cs typeface="+mn-cs"/>
                              </a:rPr>
                              <m:t>tan</m:t>
                            </m:r>
                          </m:e>
                          <m:sup>
                            <m:r>
                              <a:rPr lang="en-US" sz="1100" b="0" i="1">
                                <a:solidFill>
                                  <a:schemeClr val="dk1"/>
                                </a:solidFill>
                                <a:effectLst/>
                                <a:latin typeface="Cambria Math" panose="02040503050406030204" pitchFamily="18" charset="0"/>
                                <a:ea typeface="+mn-ea"/>
                                <a:cs typeface="+mn-cs"/>
                              </a:rPr>
                              <m:t>−1</m:t>
                            </m:r>
                          </m:sup>
                        </m:sSup>
                      </m:fName>
                      <m:e>
                        <m:d>
                          <m:dPr>
                            <m:ctrlPr>
                              <a:rPr lang="en-US" sz="1100" b="0" i="1">
                                <a:solidFill>
                                  <a:schemeClr val="dk1"/>
                                </a:solidFill>
                                <a:effectLst/>
                                <a:latin typeface="Cambria Math" panose="02040503050406030204" pitchFamily="18" charset="0"/>
                                <a:ea typeface="+mn-ea"/>
                                <a:cs typeface="+mn-cs"/>
                              </a:rPr>
                            </m:ctrlPr>
                          </m:dPr>
                          <m:e>
                            <m:r>
                              <a:rPr lang="en-US" sz="1100" b="0" i="1">
                                <a:solidFill>
                                  <a:schemeClr val="dk1"/>
                                </a:solidFill>
                                <a:effectLst/>
                                <a:latin typeface="Cambria Math" panose="02040503050406030204" pitchFamily="18" charset="0"/>
                                <a:ea typeface="+mn-ea"/>
                                <a:cs typeface="+mn-cs"/>
                              </a:rPr>
                              <m:t>𝑥</m:t>
                            </m:r>
                          </m:e>
                        </m:d>
                        <m:r>
                          <a:rPr lang="en-US" sz="1100" b="0" i="1">
                            <a:solidFill>
                              <a:schemeClr val="dk1"/>
                            </a:solidFill>
                            <a:effectLst/>
                            <a:latin typeface="Cambria Math" panose="02040503050406030204" pitchFamily="18" charset="0"/>
                            <a:ea typeface="+mn-ea"/>
                            <a:cs typeface="+mn-cs"/>
                          </a:rPr>
                          <m:t>=</m:t>
                        </m:r>
                        <m:r>
                          <a:rPr lang="en-US" sz="1100" b="0" i="1">
                            <a:solidFill>
                              <a:schemeClr val="dk1"/>
                            </a:solidFill>
                            <a:effectLst/>
                            <a:latin typeface="Cambria Math" panose="02040503050406030204" pitchFamily="18" charset="0"/>
                            <a:ea typeface="+mn-ea"/>
                            <a:cs typeface="+mn-cs"/>
                          </a:rPr>
                          <m:t>𝑥</m:t>
                        </m:r>
                        <m:r>
                          <a:rPr lang="en-US" sz="1100" b="0" i="1">
                            <a:solidFill>
                              <a:schemeClr val="dk1"/>
                            </a:solidFill>
                            <a:effectLst/>
                            <a:latin typeface="Cambria Math" panose="02040503050406030204" pitchFamily="18" charset="0"/>
                            <a:ea typeface="+mn-ea"/>
                            <a:cs typeface="+mn-cs"/>
                          </a:rPr>
                          <m:t>−</m:t>
                        </m:r>
                        <m:d>
                          <m:dPr>
                            <m:ctrlPr>
                              <a:rPr lang="en-US" sz="1100" b="0" i="1">
                                <a:solidFill>
                                  <a:schemeClr val="dk1"/>
                                </a:solidFill>
                                <a:effectLst/>
                                <a:latin typeface="Cambria Math" panose="02040503050406030204" pitchFamily="18" charset="0"/>
                                <a:ea typeface="+mn-ea"/>
                                <a:cs typeface="+mn-cs"/>
                              </a:rPr>
                            </m:ctrlPr>
                          </m:dPr>
                          <m:e>
                            <m:f>
                              <m:fPr>
                                <m:ctrlPr>
                                  <a:rPr lang="en-US" sz="1100" b="0" i="1">
                                    <a:solidFill>
                                      <a:schemeClr val="dk1"/>
                                    </a:solidFill>
                                    <a:effectLst/>
                                    <a:latin typeface="Cambria Math" panose="02040503050406030204" pitchFamily="18" charset="0"/>
                                    <a:ea typeface="+mn-ea"/>
                                    <a:cs typeface="+mn-cs"/>
                                  </a:rPr>
                                </m:ctrlPr>
                              </m:fPr>
                              <m:num>
                                <m:sSup>
                                  <m:sSupPr>
                                    <m:ctrlPr>
                                      <a:rPr lang="en-US" sz="1100" b="0" i="1">
                                        <a:solidFill>
                                          <a:schemeClr val="dk1"/>
                                        </a:solidFill>
                                        <a:effectLst/>
                                        <a:latin typeface="Cambria Math" panose="02040503050406030204" pitchFamily="18" charset="0"/>
                                        <a:ea typeface="+mn-ea"/>
                                        <a:cs typeface="+mn-cs"/>
                                      </a:rPr>
                                    </m:ctrlPr>
                                  </m:sSupPr>
                                  <m:e>
                                    <m:r>
                                      <a:rPr lang="en-US" sz="1100" b="0" i="1">
                                        <a:solidFill>
                                          <a:schemeClr val="dk1"/>
                                        </a:solidFill>
                                        <a:effectLst/>
                                        <a:latin typeface="Cambria Math" panose="02040503050406030204" pitchFamily="18" charset="0"/>
                                        <a:ea typeface="+mn-ea"/>
                                        <a:cs typeface="+mn-cs"/>
                                      </a:rPr>
                                      <m:t>𝑥</m:t>
                                    </m:r>
                                  </m:e>
                                  <m:sup>
                                    <m:r>
                                      <a:rPr lang="en-US" sz="1100" b="0" i="1">
                                        <a:solidFill>
                                          <a:schemeClr val="dk1"/>
                                        </a:solidFill>
                                        <a:effectLst/>
                                        <a:latin typeface="Cambria Math" panose="02040503050406030204" pitchFamily="18" charset="0"/>
                                        <a:ea typeface="+mn-ea"/>
                                        <a:cs typeface="+mn-cs"/>
                                      </a:rPr>
                                      <m:t>3</m:t>
                                    </m:r>
                                  </m:sup>
                                </m:sSup>
                              </m:num>
                              <m:den>
                                <m:r>
                                  <a:rPr lang="en-US" sz="1100" b="0" i="1">
                                    <a:solidFill>
                                      <a:schemeClr val="dk1"/>
                                    </a:solidFill>
                                    <a:effectLst/>
                                    <a:latin typeface="Cambria Math" panose="02040503050406030204" pitchFamily="18" charset="0"/>
                                    <a:ea typeface="+mn-ea"/>
                                    <a:cs typeface="+mn-cs"/>
                                  </a:rPr>
                                  <m:t>3</m:t>
                                </m:r>
                              </m:den>
                            </m:f>
                          </m:e>
                        </m:d>
                        <m:r>
                          <a:rPr lang="en-US" sz="1100" b="0" i="1">
                            <a:solidFill>
                              <a:schemeClr val="dk1"/>
                            </a:solidFill>
                            <a:effectLst/>
                            <a:latin typeface="Cambria Math" panose="02040503050406030204" pitchFamily="18" charset="0"/>
                            <a:ea typeface="+mn-ea"/>
                            <a:cs typeface="+mn-cs"/>
                          </a:rPr>
                          <m:t>+</m:t>
                        </m:r>
                        <m:d>
                          <m:dPr>
                            <m:ctrlPr>
                              <a:rPr lang="en-US" sz="1100" b="0" i="1">
                                <a:solidFill>
                                  <a:schemeClr val="dk1"/>
                                </a:solidFill>
                                <a:effectLst/>
                                <a:latin typeface="Cambria Math" panose="02040503050406030204" pitchFamily="18" charset="0"/>
                                <a:ea typeface="+mn-ea"/>
                                <a:cs typeface="+mn-cs"/>
                              </a:rPr>
                            </m:ctrlPr>
                          </m:dPr>
                          <m:e>
                            <m:f>
                              <m:fPr>
                                <m:ctrlPr>
                                  <a:rPr lang="en-US" sz="1100" b="0" i="1">
                                    <a:solidFill>
                                      <a:schemeClr val="dk1"/>
                                    </a:solidFill>
                                    <a:effectLst/>
                                    <a:latin typeface="Cambria Math" panose="02040503050406030204" pitchFamily="18" charset="0"/>
                                    <a:ea typeface="+mn-ea"/>
                                    <a:cs typeface="+mn-cs"/>
                                  </a:rPr>
                                </m:ctrlPr>
                              </m:fPr>
                              <m:num>
                                <m:sSup>
                                  <m:sSupPr>
                                    <m:ctrlPr>
                                      <a:rPr lang="en-US" sz="1100" b="0" i="1">
                                        <a:solidFill>
                                          <a:schemeClr val="dk1"/>
                                        </a:solidFill>
                                        <a:effectLst/>
                                        <a:latin typeface="Cambria Math" panose="02040503050406030204" pitchFamily="18" charset="0"/>
                                        <a:ea typeface="+mn-ea"/>
                                        <a:cs typeface="+mn-cs"/>
                                      </a:rPr>
                                    </m:ctrlPr>
                                  </m:sSupPr>
                                  <m:e>
                                    <m:r>
                                      <a:rPr lang="en-US" sz="1100" b="0" i="1">
                                        <a:solidFill>
                                          <a:schemeClr val="dk1"/>
                                        </a:solidFill>
                                        <a:effectLst/>
                                        <a:latin typeface="Cambria Math" panose="02040503050406030204" pitchFamily="18" charset="0"/>
                                        <a:ea typeface="+mn-ea"/>
                                        <a:cs typeface="+mn-cs"/>
                                      </a:rPr>
                                      <m:t>𝑥</m:t>
                                    </m:r>
                                  </m:e>
                                  <m:sup>
                                    <m:r>
                                      <a:rPr lang="en-US" sz="1100" b="0" i="1">
                                        <a:solidFill>
                                          <a:schemeClr val="dk1"/>
                                        </a:solidFill>
                                        <a:effectLst/>
                                        <a:latin typeface="Cambria Math" panose="02040503050406030204" pitchFamily="18" charset="0"/>
                                        <a:ea typeface="+mn-ea"/>
                                        <a:cs typeface="+mn-cs"/>
                                      </a:rPr>
                                      <m:t>5</m:t>
                                    </m:r>
                                  </m:sup>
                                </m:sSup>
                              </m:num>
                              <m:den>
                                <m:r>
                                  <a:rPr lang="en-US" sz="1100" b="0" i="1">
                                    <a:solidFill>
                                      <a:schemeClr val="dk1"/>
                                    </a:solidFill>
                                    <a:effectLst/>
                                    <a:latin typeface="Cambria Math" panose="02040503050406030204" pitchFamily="18" charset="0"/>
                                    <a:ea typeface="+mn-ea"/>
                                    <a:cs typeface="+mn-cs"/>
                                  </a:rPr>
                                  <m:t>5</m:t>
                                </m:r>
                              </m:den>
                            </m:f>
                          </m:e>
                        </m:d>
                        <m:r>
                          <a:rPr lang="en-US" sz="1100" b="0" i="1">
                            <a:solidFill>
                              <a:schemeClr val="dk1"/>
                            </a:solidFill>
                            <a:effectLst/>
                            <a:latin typeface="Cambria Math" panose="02040503050406030204" pitchFamily="18" charset="0"/>
                            <a:ea typeface="+mn-ea"/>
                            <a:cs typeface="+mn-cs"/>
                          </a:rPr>
                          <m:t>−</m:t>
                        </m:r>
                        <m:d>
                          <m:dPr>
                            <m:ctrlPr>
                              <a:rPr lang="en-US" sz="1100" b="0" i="1">
                                <a:solidFill>
                                  <a:schemeClr val="dk1"/>
                                </a:solidFill>
                                <a:effectLst/>
                                <a:latin typeface="Cambria Math" panose="02040503050406030204" pitchFamily="18" charset="0"/>
                                <a:ea typeface="+mn-ea"/>
                                <a:cs typeface="+mn-cs"/>
                              </a:rPr>
                            </m:ctrlPr>
                          </m:dPr>
                          <m:e>
                            <m:f>
                              <m:fPr>
                                <m:ctrlPr>
                                  <a:rPr lang="en-US" sz="1100" b="0" i="1">
                                    <a:solidFill>
                                      <a:schemeClr val="dk1"/>
                                    </a:solidFill>
                                    <a:effectLst/>
                                    <a:latin typeface="Cambria Math" panose="02040503050406030204" pitchFamily="18" charset="0"/>
                                    <a:ea typeface="+mn-ea"/>
                                    <a:cs typeface="+mn-cs"/>
                                  </a:rPr>
                                </m:ctrlPr>
                              </m:fPr>
                              <m:num>
                                <m:sSup>
                                  <m:sSupPr>
                                    <m:ctrlPr>
                                      <a:rPr lang="en-US" sz="1100" b="0" i="1">
                                        <a:solidFill>
                                          <a:schemeClr val="dk1"/>
                                        </a:solidFill>
                                        <a:effectLst/>
                                        <a:latin typeface="Cambria Math" panose="02040503050406030204" pitchFamily="18" charset="0"/>
                                        <a:ea typeface="+mn-ea"/>
                                        <a:cs typeface="+mn-cs"/>
                                      </a:rPr>
                                    </m:ctrlPr>
                                  </m:sSupPr>
                                  <m:e>
                                    <m:r>
                                      <a:rPr lang="en-US" sz="1100" b="0" i="1">
                                        <a:solidFill>
                                          <a:schemeClr val="dk1"/>
                                        </a:solidFill>
                                        <a:effectLst/>
                                        <a:latin typeface="Cambria Math" panose="02040503050406030204" pitchFamily="18" charset="0"/>
                                        <a:ea typeface="+mn-ea"/>
                                        <a:cs typeface="+mn-cs"/>
                                      </a:rPr>
                                      <m:t>𝑥</m:t>
                                    </m:r>
                                  </m:e>
                                  <m:sup>
                                    <m:r>
                                      <a:rPr lang="en-US" sz="1100" b="0" i="1">
                                        <a:solidFill>
                                          <a:schemeClr val="dk1"/>
                                        </a:solidFill>
                                        <a:effectLst/>
                                        <a:latin typeface="Cambria Math" panose="02040503050406030204" pitchFamily="18" charset="0"/>
                                        <a:ea typeface="+mn-ea"/>
                                        <a:cs typeface="+mn-cs"/>
                                      </a:rPr>
                                      <m:t>7</m:t>
                                    </m:r>
                                  </m:sup>
                                </m:sSup>
                              </m:num>
                              <m:den>
                                <m:r>
                                  <a:rPr lang="en-US" sz="1100" b="0" i="1">
                                    <a:solidFill>
                                      <a:schemeClr val="dk1"/>
                                    </a:solidFill>
                                    <a:effectLst/>
                                    <a:latin typeface="Cambria Math" panose="02040503050406030204" pitchFamily="18" charset="0"/>
                                    <a:ea typeface="+mn-ea"/>
                                    <a:cs typeface="+mn-cs"/>
                                  </a:rPr>
                                  <m:t>7</m:t>
                                </m:r>
                              </m:den>
                            </m:f>
                          </m:e>
                        </m:d>
                        <m:r>
                          <a:rPr lang="en-US" sz="1100" b="0" i="1">
                            <a:solidFill>
                              <a:schemeClr val="dk1"/>
                            </a:solidFill>
                            <a:effectLst/>
                            <a:latin typeface="Cambria Math" panose="02040503050406030204" pitchFamily="18" charset="0"/>
                            <a:ea typeface="+mn-ea"/>
                            <a:cs typeface="+mn-cs"/>
                          </a:rPr>
                          <m:t>+…</m:t>
                        </m:r>
                      </m:e>
                    </m:func>
                  </m:oMath>
                </m:oMathPara>
              </a14:m>
              <a:endParaRPr lang="en-US" sz="1100" b="0">
                <a:solidFill>
                  <a:schemeClr val="dk1"/>
                </a:solidFill>
                <a:effectLst/>
                <a:ea typeface="+mn-ea"/>
                <a:cs typeface="+mn-cs"/>
              </a:endParaRPr>
            </a:p>
            <a:p>
              <a:endParaRPr lang="en-US" sz="1100"/>
            </a:p>
            <a:p>
              <a:r>
                <a:rPr lang="en-US" sz="1100"/>
                <a:t>Write a program to enter </a:t>
              </a:r>
              <a14:m>
                <m:oMath xmlns:m="http://schemas.openxmlformats.org/officeDocument/2006/math">
                  <m:r>
                    <a:rPr lang="en-US" sz="1100" i="1">
                      <a:latin typeface="Cambria Math" panose="02040503050406030204" pitchFamily="18" charset="0"/>
                    </a:rPr>
                    <m:t>𝑥</m:t>
                  </m:r>
                </m:oMath>
              </a14:m>
              <a:r>
                <a:rPr lang="en-US" sz="1100"/>
                <a:t> and using a while loop, continue the loop until a tolerance of </a:t>
              </a:r>
              <a14:m>
                <m:oMath xmlns:m="http://schemas.openxmlformats.org/officeDocument/2006/math">
                  <m:r>
                    <a:rPr lang="en-US" sz="1100" b="0" i="1">
                      <a:latin typeface="Cambria Math" panose="02040503050406030204" pitchFamily="18" charset="0"/>
                    </a:rPr>
                    <m:t>0.5×</m:t>
                  </m:r>
                  <m:sSup>
                    <m:sSupPr>
                      <m:ctrlPr>
                        <a:rPr lang="en-US" sz="1100" b="0" i="1">
                          <a:latin typeface="Cambria Math" panose="02040503050406030204" pitchFamily="18" charset="0"/>
                        </a:rPr>
                      </m:ctrlPr>
                    </m:sSupPr>
                    <m:e>
                      <m:r>
                        <a:rPr lang="en-US" sz="1100" b="0" i="1">
                          <a:latin typeface="Cambria Math" panose="02040503050406030204" pitchFamily="18" charset="0"/>
                        </a:rPr>
                        <m:t>10</m:t>
                      </m:r>
                    </m:e>
                    <m:sup>
                      <m:r>
                        <a:rPr lang="en-US" sz="1100" b="0" i="1">
                          <a:latin typeface="Cambria Math" panose="02040503050406030204" pitchFamily="18" charset="0"/>
                        </a:rPr>
                        <m:t>−4</m:t>
                      </m:r>
                    </m:sup>
                  </m:sSup>
                </m:oMath>
              </a14:m>
              <a:r>
                <a:rPr lang="en-US" sz="1100"/>
                <a:t> has been reached. Try your</a:t>
              </a:r>
              <a:r>
                <a:rPr lang="en-US" sz="1100" baseline="0"/>
                <a:t> series out with </a:t>
              </a:r>
              <a14:m>
                <m:oMath xmlns:m="http://schemas.openxmlformats.org/officeDocument/2006/math">
                  <m:r>
                    <a:rPr lang="en-US" sz="1100" b="0" i="1" baseline="0">
                      <a:latin typeface="Cambria Math" panose="02040503050406030204" pitchFamily="18" charset="0"/>
                    </a:rPr>
                    <m:t>𝑥</m:t>
                  </m:r>
                  <m:r>
                    <a:rPr lang="en-US" sz="1100" b="0" i="1" baseline="0">
                      <a:latin typeface="Cambria Math" panose="02040503050406030204" pitchFamily="18" charset="0"/>
                    </a:rPr>
                    <m:t>=2</m:t>
                  </m:r>
                </m:oMath>
              </a14:m>
              <a:r>
                <a:rPr lang="en-US" sz="1100"/>
                <a:t>. Include labeled input and output. </a:t>
              </a:r>
            </a:p>
          </xdr:txBody>
        </xdr:sp>
      </mc:Choice>
      <mc:Fallback xmlns="">
        <xdr:sp macro="" textlink="">
          <xdr:nvSpPr>
            <xdr:cNvPr id="3" name="TextBox 2">
              <a:extLst>
                <a:ext uri="{FF2B5EF4-FFF2-40B4-BE49-F238E27FC236}">
                  <a16:creationId xmlns:a16="http://schemas.microsoft.com/office/drawing/2014/main" id="{851852D6-3898-4508-A58E-76222D07A982}"/>
                </a:ext>
              </a:extLst>
            </xdr:cNvPr>
            <xdr:cNvSpPr txBox="1"/>
          </xdr:nvSpPr>
          <xdr:spPr>
            <a:xfrm>
              <a:off x="666750" y="266700"/>
              <a:ext cx="5657850" cy="1362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 MacLaurin series expansion for the inverse tangent is </a:t>
              </a:r>
            </a:p>
            <a:p>
              <a:endParaRPr lang="en-US" sz="1100"/>
            </a:p>
            <a:p>
              <a:r>
                <a:rPr lang="en-US" sz="1100" b="0" i="0">
                  <a:solidFill>
                    <a:schemeClr val="dk1"/>
                  </a:solidFill>
                  <a:effectLst/>
                  <a:latin typeface="+mn-lt"/>
                  <a:ea typeface="+mn-ea"/>
                  <a:cs typeface="+mn-cs"/>
                </a:rPr>
                <a:t>tan^(−1)⁡〖(𝑥)=𝑥−(𝑥^3/3)+(𝑥^5/5)−(𝑥^7/7)+…〗</a:t>
              </a:r>
              <a:endParaRPr lang="en-US" sz="1100" b="0">
                <a:solidFill>
                  <a:schemeClr val="dk1"/>
                </a:solidFill>
                <a:effectLst/>
                <a:ea typeface="+mn-ea"/>
                <a:cs typeface="+mn-cs"/>
              </a:endParaRPr>
            </a:p>
            <a:p>
              <a:endParaRPr lang="en-US" sz="1100"/>
            </a:p>
            <a:p>
              <a:r>
                <a:rPr lang="en-US" sz="1100"/>
                <a:t>Write a program to enter </a:t>
              </a:r>
              <a:r>
                <a:rPr lang="en-US" sz="1100" i="0">
                  <a:latin typeface="Cambria Math" panose="02040503050406030204" pitchFamily="18" charset="0"/>
                </a:rPr>
                <a:t>𝑥</a:t>
              </a:r>
              <a:r>
                <a:rPr lang="en-US" sz="1100"/>
                <a:t> and using a while loop, continue the loop until a tolerance of </a:t>
              </a:r>
              <a:r>
                <a:rPr lang="en-US" sz="1100" b="0" i="0">
                  <a:latin typeface="Cambria Math" panose="02040503050406030204" pitchFamily="18" charset="0"/>
                </a:rPr>
                <a:t>0.5×10^(−4)</a:t>
              </a:r>
              <a:r>
                <a:rPr lang="en-US" sz="1100"/>
                <a:t> has been reached. Try your</a:t>
              </a:r>
              <a:r>
                <a:rPr lang="en-US" sz="1100" baseline="0"/>
                <a:t> series out with </a:t>
              </a:r>
              <a:r>
                <a:rPr lang="en-US" sz="1100" b="0" i="0" baseline="0">
                  <a:latin typeface="Cambria Math" panose="02040503050406030204" pitchFamily="18" charset="0"/>
                </a:rPr>
                <a:t>𝑥=2</a:t>
              </a:r>
              <a:r>
                <a:rPr lang="en-US" sz="1100"/>
                <a:t>. Include labeled input and output. </a:t>
              </a:r>
            </a:p>
          </xdr:txBody>
        </xdr:sp>
      </mc:Fallback>
    </mc:AlternateContent>
    <xdr:clientData/>
  </xdr:twoCellAnchor>
  <mc:AlternateContent xmlns:mc="http://schemas.openxmlformats.org/markup-compatibility/2006">
    <mc:Choice xmlns:a14="http://schemas.microsoft.com/office/drawing/2010/main" Requires="a14">
      <xdr:twoCellAnchor>
        <xdr:from>
          <xdr:col>1</xdr:col>
          <xdr:colOff>523875</xdr:colOff>
          <xdr:row>15</xdr:row>
          <xdr:rowOff>114300</xdr:rowOff>
        </xdr:from>
        <xdr:to>
          <xdr:col>1</xdr:col>
          <xdr:colOff>3324225</xdr:colOff>
          <xdr:row>17</xdr:row>
          <xdr:rowOff>180975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LV32a2_MacL_ATan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0</xdr:col>
      <xdr:colOff>295275</xdr:colOff>
      <xdr:row>2</xdr:row>
      <xdr:rowOff>109537</xdr:rowOff>
    </xdr:from>
    <xdr:ext cx="1900649" cy="483915"/>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295275" y="490537"/>
              <a:ext cx="1900649" cy="483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nary>
                      <m:naryPr>
                        <m:ctrlPr>
                          <a:rPr lang="en-US" sz="1400" b="0" i="1">
                            <a:latin typeface="Cambria Math" panose="02040503050406030204" pitchFamily="18" charset="0"/>
                          </a:rPr>
                        </m:ctrlPr>
                      </m:naryPr>
                      <m:sub>
                        <m:r>
                          <a:rPr lang="en-US" sz="1400" b="0" i="1">
                            <a:latin typeface="Cambria Math" panose="02040503050406030204" pitchFamily="18" charset="0"/>
                          </a:rPr>
                          <m:t>0</m:t>
                        </m:r>
                      </m:sub>
                      <m:sup>
                        <m:r>
                          <a:rPr lang="en-US" sz="1400" b="0" i="1">
                            <a:latin typeface="Cambria Math" panose="02040503050406030204" pitchFamily="18" charset="0"/>
                          </a:rPr>
                          <m:t>1</m:t>
                        </m:r>
                      </m:sup>
                      <m:e>
                        <m:f>
                          <m:fPr>
                            <m:ctrlPr>
                              <a:rPr lang="en-US" sz="1400" b="0" i="1">
                                <a:latin typeface="Cambria Math" panose="02040503050406030204" pitchFamily="18" charset="0"/>
                              </a:rPr>
                            </m:ctrlPr>
                          </m:fPr>
                          <m:num>
                            <m:r>
                              <a:rPr lang="en-US" sz="1400" b="0" i="1">
                                <a:latin typeface="Cambria Math" panose="02040503050406030204" pitchFamily="18" charset="0"/>
                              </a:rPr>
                              <m:t>0.002⋅</m:t>
                            </m:r>
                            <m:d>
                              <m:dPr>
                                <m:ctrlPr>
                                  <a:rPr lang="en-US" sz="1400" b="0" i="1">
                                    <a:latin typeface="Cambria Math" panose="02040503050406030204" pitchFamily="18" charset="0"/>
                                  </a:rPr>
                                </m:ctrlPr>
                              </m:dPr>
                              <m:e>
                                <m:r>
                                  <a:rPr lang="en-US" sz="1400" b="0" i="1">
                                    <a:latin typeface="Cambria Math" panose="02040503050406030204" pitchFamily="18" charset="0"/>
                                  </a:rPr>
                                  <m:t>4</m:t>
                                </m:r>
                                <m:sSup>
                                  <m:sSupPr>
                                    <m:ctrlPr>
                                      <a:rPr lang="en-US" sz="1400" b="0" i="1">
                                        <a:latin typeface="Cambria Math" panose="02040503050406030204" pitchFamily="18" charset="0"/>
                                      </a:rPr>
                                    </m:ctrlPr>
                                  </m:sSupPr>
                                  <m:e>
                                    <m:r>
                                      <a:rPr lang="en-US" sz="1400" b="0" i="1">
                                        <a:latin typeface="Cambria Math" panose="02040503050406030204" pitchFamily="18" charset="0"/>
                                      </a:rPr>
                                      <m:t>𝑥</m:t>
                                    </m:r>
                                  </m:e>
                                  <m:sup>
                                    <m:r>
                                      <a:rPr lang="en-US" sz="1400" b="0" i="1">
                                        <a:latin typeface="Cambria Math" panose="02040503050406030204" pitchFamily="18" charset="0"/>
                                      </a:rPr>
                                      <m:t>2</m:t>
                                    </m:r>
                                  </m:sup>
                                </m:sSup>
                                <m:r>
                                  <a:rPr lang="en-US" sz="1400" b="0" i="1">
                                    <a:latin typeface="Cambria Math" panose="02040503050406030204" pitchFamily="18" charset="0"/>
                                  </a:rPr>
                                  <m:t>−</m:t>
                                </m:r>
                                <m:sSup>
                                  <m:sSupPr>
                                    <m:ctrlPr>
                                      <a:rPr lang="en-US" sz="1400" b="0" i="1">
                                        <a:latin typeface="Cambria Math" panose="02040503050406030204" pitchFamily="18" charset="0"/>
                                      </a:rPr>
                                    </m:ctrlPr>
                                  </m:sSupPr>
                                  <m:e>
                                    <m:r>
                                      <a:rPr lang="en-US" sz="1400" b="0" i="1">
                                        <a:latin typeface="Cambria Math" panose="02040503050406030204" pitchFamily="18" charset="0"/>
                                      </a:rPr>
                                      <m:t>𝑥</m:t>
                                    </m:r>
                                  </m:e>
                                  <m:sup>
                                    <m:r>
                                      <a:rPr lang="en-US" sz="1400" b="0" i="1">
                                        <a:latin typeface="Cambria Math" panose="02040503050406030204" pitchFamily="18" charset="0"/>
                                      </a:rPr>
                                      <m:t>3</m:t>
                                    </m:r>
                                  </m:sup>
                                </m:sSup>
                              </m:e>
                            </m:d>
                            <m:r>
                              <a:rPr lang="en-US" sz="1400" b="0" i="1">
                                <a:latin typeface="Cambria Math" panose="02040503050406030204" pitchFamily="18" charset="0"/>
                              </a:rPr>
                              <m:t>𝑑𝑥</m:t>
                            </m:r>
                          </m:num>
                          <m:den>
                            <m:d>
                              <m:dPr>
                                <m:ctrlPr>
                                  <a:rPr lang="en-US" sz="1400" b="0" i="1">
                                    <a:latin typeface="Cambria Math" panose="02040503050406030204" pitchFamily="18" charset="0"/>
                                  </a:rPr>
                                </m:ctrlPr>
                              </m:dPr>
                              <m:e>
                                <m:r>
                                  <a:rPr lang="en-US" sz="1400" b="0" i="1">
                                    <a:latin typeface="Cambria Math" panose="02040503050406030204" pitchFamily="18" charset="0"/>
                                  </a:rPr>
                                  <m:t>0.1+</m:t>
                                </m:r>
                                <m:func>
                                  <m:funcPr>
                                    <m:ctrlPr>
                                      <a:rPr lang="en-US" sz="1400" b="0" i="1">
                                        <a:latin typeface="Cambria Math" panose="02040503050406030204" pitchFamily="18" charset="0"/>
                                      </a:rPr>
                                    </m:ctrlPr>
                                  </m:funcPr>
                                  <m:fName>
                                    <m:r>
                                      <m:rPr>
                                        <m:sty m:val="p"/>
                                      </m:rPr>
                                      <a:rPr lang="en-US" sz="1400" b="0" i="0">
                                        <a:latin typeface="Cambria Math" panose="02040503050406030204" pitchFamily="18" charset="0"/>
                                      </a:rPr>
                                      <m:t>sin</m:t>
                                    </m:r>
                                  </m:fName>
                                  <m:e>
                                    <m:d>
                                      <m:dPr>
                                        <m:ctrlPr>
                                          <a:rPr lang="en-US" sz="1400" b="0" i="1">
                                            <a:latin typeface="Cambria Math" panose="02040503050406030204" pitchFamily="18" charset="0"/>
                                          </a:rPr>
                                        </m:ctrlPr>
                                      </m:dPr>
                                      <m:e>
                                        <m:r>
                                          <a:rPr lang="en-US" sz="1400" b="0" i="1">
                                            <a:latin typeface="Cambria Math" panose="02040503050406030204" pitchFamily="18" charset="0"/>
                                          </a:rPr>
                                          <m:t>0.063</m:t>
                                        </m:r>
                                        <m:r>
                                          <a:rPr lang="en-US" sz="1400" b="0" i="1">
                                            <a:latin typeface="Cambria Math" panose="02040503050406030204" pitchFamily="18" charset="0"/>
                                          </a:rPr>
                                          <m:t>𝑥</m:t>
                                        </m:r>
                                      </m:e>
                                    </m:d>
                                  </m:e>
                                </m:func>
                              </m:e>
                            </m:d>
                          </m:den>
                        </m:f>
                      </m:e>
                    </m:nary>
                  </m:oMath>
                </m:oMathPara>
              </a14:m>
              <a:endParaRPr lang="en-US" sz="1400"/>
            </a:p>
          </xdr:txBody>
        </xdr:sp>
      </mc:Choice>
      <mc:Fallback xmlns="">
        <xdr:sp macro="" textlink="">
          <xdr:nvSpPr>
            <xdr:cNvPr id="2" name="TextBox 1">
              <a:extLst>
                <a:ext uri="{FF2B5EF4-FFF2-40B4-BE49-F238E27FC236}">
                  <a16:creationId xmlns:a16="http://schemas.microsoft.com/office/drawing/2014/main" id="{53EE0249-8FC4-42A4-AB7F-CCB0348594B9}"/>
                </a:ext>
              </a:extLst>
            </xdr:cNvPr>
            <xdr:cNvSpPr txBox="1"/>
          </xdr:nvSpPr>
          <xdr:spPr>
            <a:xfrm>
              <a:off x="295275" y="490537"/>
              <a:ext cx="1900649" cy="483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400" b="0" i="0">
                  <a:latin typeface="Cambria Math" panose="02040503050406030204" pitchFamily="18" charset="0"/>
                </a:rPr>
                <a:t>∫24_0^1▒(0.002⋅(4𝑥^2−𝑥^3 )𝑑𝑥)/((0.1+sin⁡(0.063𝑥) ) )</a:t>
              </a:r>
              <a:endParaRPr lang="en-US" sz="1400"/>
            </a:p>
          </xdr:txBody>
        </xdr:sp>
      </mc:Fallback>
    </mc:AlternateContent>
    <xdr:clientData/>
  </xdr:oneCellAnchor>
  <xdr:oneCellAnchor>
    <xdr:from>
      <xdr:col>1</xdr:col>
      <xdr:colOff>550252</xdr:colOff>
      <xdr:row>19</xdr:row>
      <xdr:rowOff>141043</xdr:rowOff>
    </xdr:from>
    <xdr:ext cx="339900" cy="172227"/>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1159852" y="3760543"/>
              <a:ext cx="33990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n-US" sz="1100" b="0" i="0">
                        <a:latin typeface="Cambria Math" panose="02040503050406030204" pitchFamily="18" charset="0"/>
                      </a:rPr>
                      <m:t>Δ</m:t>
                    </m:r>
                    <m:r>
                      <a:rPr lang="en-US" sz="1100" b="0" i="1">
                        <a:latin typeface="Cambria Math" panose="02040503050406030204" pitchFamily="18" charset="0"/>
                      </a:rPr>
                      <m:t>𝑥</m:t>
                    </m:r>
                    <m:r>
                      <a:rPr lang="en-US" sz="1100" b="0" i="1">
                        <a:latin typeface="Cambria Math" panose="02040503050406030204" pitchFamily="18" charset="0"/>
                      </a:rPr>
                      <m:t>=</m:t>
                    </m:r>
                  </m:oMath>
                </m:oMathPara>
              </a14:m>
              <a:endParaRPr lang="en-US" sz="1000"/>
            </a:p>
          </xdr:txBody>
        </xdr:sp>
      </mc:Choice>
      <mc:Fallback xmlns="">
        <xdr:sp macro="" textlink="">
          <xdr:nvSpPr>
            <xdr:cNvPr id="3" name="TextBox 2">
              <a:extLst>
                <a:ext uri="{FF2B5EF4-FFF2-40B4-BE49-F238E27FC236}">
                  <a16:creationId xmlns:a16="http://schemas.microsoft.com/office/drawing/2014/main" id="{86724CE7-33B2-4D33-80D7-8FC2D89D3793}"/>
                </a:ext>
              </a:extLst>
            </xdr:cNvPr>
            <xdr:cNvSpPr txBox="1"/>
          </xdr:nvSpPr>
          <xdr:spPr>
            <a:xfrm>
              <a:off x="1159852" y="3760543"/>
              <a:ext cx="33990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Δ𝑥=</a:t>
              </a:r>
              <a:endParaRPr lang="en-US" sz="1000"/>
            </a:p>
          </xdr:txBody>
        </xdr:sp>
      </mc:Fallback>
    </mc:AlternateContent>
    <xdr:clientData/>
  </xdr:oneCellAnchor>
  <xdr:oneCellAnchor>
    <xdr:from>
      <xdr:col>3</xdr:col>
      <xdr:colOff>400050</xdr:colOff>
      <xdr:row>20</xdr:row>
      <xdr:rowOff>52387</xdr:rowOff>
    </xdr:from>
    <xdr:ext cx="519694" cy="316882"/>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2914650" y="4167187"/>
              <a:ext cx="519694" cy="3168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1100" b="0" i="1">
                            <a:latin typeface="Cambria Math" panose="02040503050406030204" pitchFamily="18" charset="0"/>
                          </a:rPr>
                        </m:ctrlPr>
                      </m:fPr>
                      <m:num>
                        <m:r>
                          <m:rPr>
                            <m:sty m:val="p"/>
                          </m:rPr>
                          <a:rPr lang="en-US" sz="1100" b="0" i="0">
                            <a:latin typeface="Cambria Math" panose="02040503050406030204" pitchFamily="18" charset="0"/>
                          </a:rPr>
                          <m:t>Δ</m:t>
                        </m:r>
                        <m:r>
                          <a:rPr lang="en-US" sz="1100" b="0" i="1">
                            <a:latin typeface="Cambria Math" panose="02040503050406030204" pitchFamily="18" charset="0"/>
                          </a:rPr>
                          <m:t>𝑥</m:t>
                        </m:r>
                      </m:num>
                      <m:den>
                        <m:r>
                          <a:rPr lang="en-US" sz="1100" b="0" i="1">
                            <a:latin typeface="Cambria Math" panose="02040503050406030204" pitchFamily="18" charset="0"/>
                          </a:rPr>
                          <m:t>2</m:t>
                        </m:r>
                      </m:den>
                    </m:f>
                    <m:r>
                      <a:rPr lang="en-US" sz="1100" b="0" i="1">
                        <a:latin typeface="Cambria Math" panose="02040503050406030204" pitchFamily="18" charset="0"/>
                      </a:rPr>
                      <m:t>⋅</m:t>
                    </m:r>
                    <m:r>
                      <m:rPr>
                        <m:sty m:val="p"/>
                      </m:rPr>
                      <a:rPr lang="en-US" sz="1100" b="0" i="0">
                        <a:latin typeface="Cambria Math" panose="02040503050406030204" pitchFamily="18" charset="0"/>
                      </a:rPr>
                      <m:t>Σ</m:t>
                    </m:r>
                    <m:r>
                      <a:rPr lang="en-US" sz="1100" b="0" i="0">
                        <a:latin typeface="Cambria Math" panose="02040503050406030204" pitchFamily="18" charset="0"/>
                      </a:rPr>
                      <m:t>=</m:t>
                    </m:r>
                  </m:oMath>
                </m:oMathPara>
              </a14:m>
              <a:endParaRPr lang="en-US" sz="1100"/>
            </a:p>
          </xdr:txBody>
        </xdr:sp>
      </mc:Choice>
      <mc:Fallback xmlns="">
        <xdr:sp macro="" textlink="">
          <xdr:nvSpPr>
            <xdr:cNvPr id="4" name="TextBox 3">
              <a:extLst>
                <a:ext uri="{FF2B5EF4-FFF2-40B4-BE49-F238E27FC236}">
                  <a16:creationId xmlns:a16="http://schemas.microsoft.com/office/drawing/2014/main" id="{3C7FFEF6-8ED3-4284-8B6F-11ADE0FC1219}"/>
                </a:ext>
              </a:extLst>
            </xdr:cNvPr>
            <xdr:cNvSpPr txBox="1"/>
          </xdr:nvSpPr>
          <xdr:spPr>
            <a:xfrm>
              <a:off x="2914650" y="4167187"/>
              <a:ext cx="519694" cy="3168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Δ𝑥/2⋅Σ=</a:t>
              </a:r>
              <a:endParaRPr lang="en-US" sz="1100"/>
            </a:p>
          </xdr:txBody>
        </xdr:sp>
      </mc:Fallback>
    </mc:AlternateContent>
    <xdr:clientData/>
  </xdr:oneCellAnchor>
  <xdr:oneCellAnchor>
    <xdr:from>
      <xdr:col>3</xdr:col>
      <xdr:colOff>114300</xdr:colOff>
      <xdr:row>19</xdr:row>
      <xdr:rowOff>80962</xdr:rowOff>
    </xdr:from>
    <xdr:ext cx="1047750" cy="37623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600-000005000000}"/>
                </a:ext>
              </a:extLst>
            </xdr:cNvPr>
            <xdr:cNvSpPr txBox="1"/>
          </xdr:nvSpPr>
          <xdr:spPr>
            <a:xfrm>
              <a:off x="2628900" y="3700462"/>
              <a:ext cx="1047750" cy="3762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𝑆𝑢𝑚</m:t>
                    </m:r>
                    <m:r>
                      <a:rPr lang="en-US" sz="1100" b="0" i="1">
                        <a:latin typeface="Cambria Math" panose="02040503050406030204" pitchFamily="18" charset="0"/>
                      </a:rPr>
                      <m:t> </m:t>
                    </m:r>
                    <m:r>
                      <a:rPr lang="en-US" sz="1100" b="0" i="1">
                        <a:latin typeface="Cambria Math" panose="02040503050406030204" pitchFamily="18" charset="0"/>
                      </a:rPr>
                      <m:t>𝑜𝑓</m:t>
                    </m:r>
                    <m:r>
                      <a:rPr lang="en-US" sz="1100" b="0" i="1">
                        <a:latin typeface="Cambria Math" panose="02040503050406030204" pitchFamily="18" charset="0"/>
                      </a:rPr>
                      <m:t> </m:t>
                    </m:r>
                    <m:r>
                      <a:rPr lang="en-US" sz="1100" b="0" i="1">
                        <a:latin typeface="Cambria Math" panose="02040503050406030204" pitchFamily="18" charset="0"/>
                      </a:rPr>
                      <m:t>𝑎𝑙𝑙</m:t>
                    </m:r>
                    <m:r>
                      <a:rPr lang="en-US" sz="1100" b="0" i="1">
                        <a:latin typeface="Cambria Math" panose="02040503050406030204" pitchFamily="18" charset="0"/>
                      </a:rPr>
                      <m:t> </m:t>
                    </m:r>
                  </m:oMath>
                </m:oMathPara>
              </a14:m>
              <a:endParaRPr lang="en-US" sz="1100" b="0" i="1">
                <a:latin typeface="Cambria Math" panose="02040503050406030204" pitchFamily="18" charset="0"/>
              </a:endParaRPr>
            </a:p>
            <a:p>
              <a14:m>
                <m:oMath xmlns:m="http://schemas.openxmlformats.org/officeDocument/2006/math">
                  <m:r>
                    <a:rPr lang="en-US" sz="1100" b="0" i="1">
                      <a:latin typeface="Cambria Math" panose="02040503050406030204" pitchFamily="18" charset="0"/>
                    </a:rPr>
                    <m:t>𝐼𝑛𝑡𝑒𝑟𝑣𝑎𝑙𝑠</m:t>
                  </m:r>
                  <m:r>
                    <a:rPr lang="en-US" sz="1100" b="0" i="1">
                      <a:latin typeface="Cambria Math" panose="02040503050406030204" pitchFamily="18" charset="0"/>
                    </a:rPr>
                    <m:t>, </m:t>
                  </m:r>
                  <m:r>
                    <m:rPr>
                      <m:sty m:val="p"/>
                    </m:rPr>
                    <a:rPr lang="en-US" sz="1100" b="0" i="0">
                      <a:latin typeface="Cambria Math" panose="02040503050406030204" pitchFamily="18" charset="0"/>
                    </a:rPr>
                    <m:t>Σ</m:t>
                  </m:r>
                </m:oMath>
              </a14:m>
              <a:r>
                <a:rPr lang="en-US" sz="1100"/>
                <a:t>=</a:t>
              </a:r>
            </a:p>
          </xdr:txBody>
        </xdr:sp>
      </mc:Choice>
      <mc:Fallback xmlns="">
        <xdr:sp macro="" textlink="">
          <xdr:nvSpPr>
            <xdr:cNvPr id="5" name="TextBox 4">
              <a:extLst>
                <a:ext uri="{FF2B5EF4-FFF2-40B4-BE49-F238E27FC236}">
                  <a16:creationId xmlns:a16="http://schemas.microsoft.com/office/drawing/2014/main" id="{74372D73-7484-4460-A398-BAAB954382FE}"/>
                </a:ext>
              </a:extLst>
            </xdr:cNvPr>
            <xdr:cNvSpPr txBox="1"/>
          </xdr:nvSpPr>
          <xdr:spPr>
            <a:xfrm>
              <a:off x="2628900" y="3700462"/>
              <a:ext cx="1047750" cy="3762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n-US" sz="1100" b="0" i="0">
                  <a:latin typeface="Cambria Math" panose="02040503050406030204" pitchFamily="18" charset="0"/>
                </a:rPr>
                <a:t>𝑆𝑢𝑚 𝑜𝑓 𝑎𝑙𝑙 </a:t>
              </a:r>
              <a:endParaRPr lang="en-US" sz="1100" b="0" i="1">
                <a:latin typeface="Cambria Math" panose="02040503050406030204" pitchFamily="18" charset="0"/>
              </a:endParaRPr>
            </a:p>
            <a:p>
              <a:r>
                <a:rPr lang="en-US" sz="1100" b="0" i="0">
                  <a:latin typeface="Cambria Math" panose="02040503050406030204" pitchFamily="18" charset="0"/>
                </a:rPr>
                <a:t>𝐼𝑛𝑡𝑒𝑟𝑣𝑎𝑙𝑠, Σ</a:t>
              </a:r>
              <a:r>
                <a:rPr lang="en-US" sz="1100"/>
                <a:t>=</a:t>
              </a:r>
            </a:p>
          </xdr:txBody>
        </xdr:sp>
      </mc:Fallback>
    </mc:AlternateContent>
    <xdr:clientData/>
  </xdr:oneCellAnchor>
  <mc:AlternateContent xmlns:mc="http://schemas.openxmlformats.org/markup-compatibility/2006">
    <mc:Choice xmlns:a14="http://schemas.microsoft.com/office/drawing/2010/main" Requires="a14">
      <xdr:twoCellAnchor>
        <xdr:from>
          <xdr:col>1</xdr:col>
          <xdr:colOff>552450</xdr:colOff>
          <xdr:row>12</xdr:row>
          <xdr:rowOff>133350</xdr:rowOff>
        </xdr:from>
        <xdr:to>
          <xdr:col>4</xdr:col>
          <xdr:colOff>1485900</xdr:colOff>
          <xdr:row>12</xdr:row>
          <xdr:rowOff>600075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6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Exercise 5.14</a:t>
              </a:r>
            </a:p>
          </xdr:txBody>
        </xdr:sp>
        <xdr:clientData fPrintsWithSheet="0"/>
      </xdr:twoCellAnchor>
    </mc:Choice>
    <mc:Fallback/>
  </mc:AlternateContent>
  <xdr:oneCellAnchor>
    <xdr:from>
      <xdr:col>2</xdr:col>
      <xdr:colOff>123825</xdr:colOff>
      <xdr:row>20</xdr:row>
      <xdr:rowOff>157162</xdr:rowOff>
    </xdr:from>
    <xdr:ext cx="688971" cy="172227"/>
    <mc:AlternateContent xmlns:mc="http://schemas.openxmlformats.org/markup-compatibility/2006" xmlns:a14="http://schemas.microsoft.com/office/drawing/2010/main">
      <mc:Choice Requires="a14">
        <xdr:sp macro="" textlink="">
          <xdr:nvSpPr>
            <xdr:cNvPr id="12" name="TextBox 11">
              <a:extLst>
                <a:ext uri="{FF2B5EF4-FFF2-40B4-BE49-F238E27FC236}">
                  <a16:creationId xmlns:a16="http://schemas.microsoft.com/office/drawing/2014/main" id="{00000000-0008-0000-0600-00000C000000}"/>
                </a:ext>
              </a:extLst>
            </xdr:cNvPr>
            <xdr:cNvSpPr txBox="1"/>
          </xdr:nvSpPr>
          <xdr:spPr>
            <a:xfrm>
              <a:off x="1724025" y="4824412"/>
              <a:ext cx="68897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𝑓</m:t>
                    </m:r>
                    <m:r>
                      <a:rPr lang="en-US" sz="1100" b="0" i="1">
                        <a:latin typeface="Cambria Math" panose="02040503050406030204" pitchFamily="18" charset="0"/>
                      </a:rPr>
                      <m:t>(</m:t>
                    </m:r>
                    <m:r>
                      <a:rPr lang="en-US" sz="1100" b="0" i="1">
                        <a:latin typeface="Cambria Math" panose="02040503050406030204" pitchFamily="18" charset="0"/>
                      </a:rPr>
                      <m:t>𝑎</m:t>
                    </m:r>
                    <m:r>
                      <a:rPr lang="en-US" sz="1100" b="0" i="1">
                        <a:latin typeface="Cambria Math" panose="02040503050406030204" pitchFamily="18" charset="0"/>
                      </a:rPr>
                      <m:t>+</m:t>
                    </m:r>
                    <m:r>
                      <a:rPr lang="en-US" sz="1100" b="0" i="1">
                        <a:latin typeface="Cambria Math" panose="02040503050406030204" pitchFamily="18" charset="0"/>
                      </a:rPr>
                      <m:t>𝑖</m:t>
                    </m:r>
                    <m:r>
                      <m:rPr>
                        <m:sty m:val="p"/>
                      </m:rPr>
                      <a:rPr lang="en-US" sz="1100" b="0" i="0">
                        <a:latin typeface="Cambria Math" panose="02040503050406030204" pitchFamily="18" charset="0"/>
                      </a:rPr>
                      <m:t>Δ</m:t>
                    </m:r>
                    <m:r>
                      <a:rPr lang="en-US" sz="1100" b="0" i="1">
                        <a:latin typeface="Cambria Math" panose="02040503050406030204" pitchFamily="18" charset="0"/>
                      </a:rPr>
                      <m:t>𝑥</m:t>
                    </m:r>
                    <m:r>
                      <a:rPr lang="en-US" sz="1100" b="0" i="1">
                        <a:latin typeface="Cambria Math" panose="02040503050406030204" pitchFamily="18" charset="0"/>
                      </a:rPr>
                      <m:t>)</m:t>
                    </m:r>
                  </m:oMath>
                </m:oMathPara>
              </a14:m>
              <a:endParaRPr lang="en-US" sz="1100"/>
            </a:p>
          </xdr:txBody>
        </xdr:sp>
      </mc:Choice>
      <mc:Fallback xmlns="">
        <xdr:sp macro="" textlink="">
          <xdr:nvSpPr>
            <xdr:cNvPr id="12" name="TextBox 11">
              <a:extLst>
                <a:ext uri="{FF2B5EF4-FFF2-40B4-BE49-F238E27FC236}">
                  <a16:creationId xmlns:a16="http://schemas.microsoft.com/office/drawing/2014/main" id="{7D86EBDC-9880-45D0-BB38-50E35DECCBB0}"/>
                </a:ext>
              </a:extLst>
            </xdr:cNvPr>
            <xdr:cNvSpPr txBox="1"/>
          </xdr:nvSpPr>
          <xdr:spPr>
            <a:xfrm>
              <a:off x="1724025" y="4824412"/>
              <a:ext cx="68897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𝑓(𝑎+𝑖Δ𝑥)</a:t>
              </a:r>
              <a:endParaRPr lang="en-US" sz="1100"/>
            </a:p>
          </xdr:txBody>
        </xdr:sp>
      </mc:Fallback>
    </mc:AlternateContent>
    <xdr:clientData/>
  </xdr:oneCellAnchor>
  <xdr:oneCellAnchor>
    <xdr:from>
      <xdr:col>1</xdr:col>
      <xdr:colOff>114300</xdr:colOff>
      <xdr:row>20</xdr:row>
      <xdr:rowOff>147637</xdr:rowOff>
    </xdr:from>
    <xdr:ext cx="664990" cy="172227"/>
    <mc:AlternateContent xmlns:mc="http://schemas.openxmlformats.org/markup-compatibility/2006" xmlns:a14="http://schemas.microsoft.com/office/drawing/2010/main">
      <mc:Choice Requires="a14">
        <xdr:sp macro="" textlink="">
          <xdr:nvSpPr>
            <xdr:cNvPr id="13" name="TextBox 12">
              <a:extLst>
                <a:ext uri="{FF2B5EF4-FFF2-40B4-BE49-F238E27FC236}">
                  <a16:creationId xmlns:a16="http://schemas.microsoft.com/office/drawing/2014/main" id="{00000000-0008-0000-0600-00000D000000}"/>
                </a:ext>
              </a:extLst>
            </xdr:cNvPr>
            <xdr:cNvSpPr txBox="1"/>
          </xdr:nvSpPr>
          <xdr:spPr>
            <a:xfrm>
              <a:off x="723900" y="4814887"/>
              <a:ext cx="66499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𝐼𝑛𝑡𝑒𝑟𝑣𝑎𝑙</m:t>
                    </m:r>
                    <m:r>
                      <a:rPr lang="en-US" sz="1100" b="0" i="1">
                        <a:latin typeface="Cambria Math" panose="02040503050406030204" pitchFamily="18" charset="0"/>
                      </a:rPr>
                      <m:t>, </m:t>
                    </m:r>
                    <m:r>
                      <a:rPr lang="en-US" sz="1100" b="0" i="1">
                        <a:latin typeface="Cambria Math" panose="02040503050406030204" pitchFamily="18" charset="0"/>
                      </a:rPr>
                      <m:t>𝑖</m:t>
                    </m:r>
                  </m:oMath>
                </m:oMathPara>
              </a14:m>
              <a:endParaRPr lang="en-US" sz="1100"/>
            </a:p>
          </xdr:txBody>
        </xdr:sp>
      </mc:Choice>
      <mc:Fallback xmlns="">
        <xdr:sp macro="" textlink="">
          <xdr:nvSpPr>
            <xdr:cNvPr id="13" name="TextBox 12">
              <a:extLst>
                <a:ext uri="{FF2B5EF4-FFF2-40B4-BE49-F238E27FC236}">
                  <a16:creationId xmlns:a16="http://schemas.microsoft.com/office/drawing/2014/main" id="{45B80418-B936-4D39-B46C-B1730F0F56C1}"/>
                </a:ext>
              </a:extLst>
            </xdr:cNvPr>
            <xdr:cNvSpPr txBox="1"/>
          </xdr:nvSpPr>
          <xdr:spPr>
            <a:xfrm>
              <a:off x="723900" y="4814887"/>
              <a:ext cx="66499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𝐼𝑛𝑡𝑒𝑟𝑣𝑎𝑙, 𝑖</a:t>
              </a:r>
              <a:endParaRPr lang="en-US" sz="1100"/>
            </a:p>
          </xdr:txBody>
        </xdr:sp>
      </mc:Fallback>
    </mc:AlternateContent>
    <xdr:clientData/>
  </xdr:oneCellAnchor>
  <xdr:oneCellAnchor>
    <xdr:from>
      <xdr:col>8</xdr:col>
      <xdr:colOff>550252</xdr:colOff>
      <xdr:row>19</xdr:row>
      <xdr:rowOff>141043</xdr:rowOff>
    </xdr:from>
    <xdr:ext cx="339900" cy="172227"/>
    <mc:AlternateContent xmlns:mc="http://schemas.openxmlformats.org/markup-compatibility/2006" xmlns:a14="http://schemas.microsoft.com/office/drawing/2010/main">
      <mc:Choice Requires="a14">
        <xdr:sp macro="" textlink="">
          <xdr:nvSpPr>
            <xdr:cNvPr id="14" name="TextBox 13">
              <a:extLst>
                <a:ext uri="{FF2B5EF4-FFF2-40B4-BE49-F238E27FC236}">
                  <a16:creationId xmlns:a16="http://schemas.microsoft.com/office/drawing/2014/main" id="{00000000-0008-0000-0600-00000E000000}"/>
                </a:ext>
              </a:extLst>
            </xdr:cNvPr>
            <xdr:cNvSpPr txBox="1"/>
          </xdr:nvSpPr>
          <xdr:spPr>
            <a:xfrm>
              <a:off x="1159852" y="11161468"/>
              <a:ext cx="33990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n-US" sz="1100" b="0" i="0">
                        <a:latin typeface="Cambria Math" panose="02040503050406030204" pitchFamily="18" charset="0"/>
                      </a:rPr>
                      <m:t>Δ</m:t>
                    </m:r>
                    <m:r>
                      <a:rPr lang="en-US" sz="1100" b="0" i="1">
                        <a:latin typeface="Cambria Math" panose="02040503050406030204" pitchFamily="18" charset="0"/>
                      </a:rPr>
                      <m:t>𝑥</m:t>
                    </m:r>
                    <m:r>
                      <a:rPr lang="en-US" sz="1100" b="0" i="1">
                        <a:latin typeface="Cambria Math" panose="02040503050406030204" pitchFamily="18" charset="0"/>
                      </a:rPr>
                      <m:t>=</m:t>
                    </m:r>
                  </m:oMath>
                </m:oMathPara>
              </a14:m>
              <a:endParaRPr lang="en-US" sz="1000"/>
            </a:p>
          </xdr:txBody>
        </xdr:sp>
      </mc:Choice>
      <mc:Fallback xmlns="">
        <xdr:sp macro="" textlink="">
          <xdr:nvSpPr>
            <xdr:cNvPr id="14" name="TextBox 13">
              <a:extLst>
                <a:ext uri="{FF2B5EF4-FFF2-40B4-BE49-F238E27FC236}">
                  <a16:creationId xmlns:a16="http://schemas.microsoft.com/office/drawing/2014/main" id="{BE827AC1-B191-4398-ABD9-8082CC438CDC}"/>
                </a:ext>
              </a:extLst>
            </xdr:cNvPr>
            <xdr:cNvSpPr txBox="1"/>
          </xdr:nvSpPr>
          <xdr:spPr>
            <a:xfrm>
              <a:off x="1159852" y="11161468"/>
              <a:ext cx="33990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Δ𝑥=</a:t>
              </a:r>
              <a:endParaRPr lang="en-US" sz="1000"/>
            </a:p>
          </xdr:txBody>
        </xdr:sp>
      </mc:Fallback>
    </mc:AlternateContent>
    <xdr:clientData/>
  </xdr:oneCellAnchor>
  <xdr:oneCellAnchor>
    <xdr:from>
      <xdr:col>10</xdr:col>
      <xdr:colOff>400050</xdr:colOff>
      <xdr:row>20</xdr:row>
      <xdr:rowOff>52387</xdr:rowOff>
    </xdr:from>
    <xdr:ext cx="519694" cy="316882"/>
    <mc:AlternateContent xmlns:mc="http://schemas.openxmlformats.org/markup-compatibility/2006" xmlns:a14="http://schemas.microsoft.com/office/drawing/2010/main">
      <mc:Choice Requires="a14">
        <xdr:sp macro="" textlink="">
          <xdr:nvSpPr>
            <xdr:cNvPr id="15" name="TextBox 14">
              <a:extLst>
                <a:ext uri="{FF2B5EF4-FFF2-40B4-BE49-F238E27FC236}">
                  <a16:creationId xmlns:a16="http://schemas.microsoft.com/office/drawing/2014/main" id="{00000000-0008-0000-0600-00000F000000}"/>
                </a:ext>
              </a:extLst>
            </xdr:cNvPr>
            <xdr:cNvSpPr txBox="1"/>
          </xdr:nvSpPr>
          <xdr:spPr>
            <a:xfrm>
              <a:off x="2914650" y="11530012"/>
              <a:ext cx="519694" cy="3168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1100" b="0" i="1">
                            <a:latin typeface="Cambria Math" panose="02040503050406030204" pitchFamily="18" charset="0"/>
                          </a:rPr>
                        </m:ctrlPr>
                      </m:fPr>
                      <m:num>
                        <m:r>
                          <m:rPr>
                            <m:sty m:val="p"/>
                          </m:rPr>
                          <a:rPr lang="en-US" sz="1100" b="0" i="0">
                            <a:latin typeface="Cambria Math" panose="02040503050406030204" pitchFamily="18" charset="0"/>
                          </a:rPr>
                          <m:t>Δ</m:t>
                        </m:r>
                        <m:r>
                          <a:rPr lang="en-US" sz="1100" b="0" i="1">
                            <a:latin typeface="Cambria Math" panose="02040503050406030204" pitchFamily="18" charset="0"/>
                          </a:rPr>
                          <m:t>𝑥</m:t>
                        </m:r>
                      </m:num>
                      <m:den>
                        <m:r>
                          <a:rPr lang="en-US" sz="1100" b="0" i="1">
                            <a:latin typeface="Cambria Math" panose="02040503050406030204" pitchFamily="18" charset="0"/>
                          </a:rPr>
                          <m:t>2</m:t>
                        </m:r>
                      </m:den>
                    </m:f>
                    <m:r>
                      <a:rPr lang="en-US" sz="1100" b="0" i="1">
                        <a:latin typeface="Cambria Math" panose="02040503050406030204" pitchFamily="18" charset="0"/>
                      </a:rPr>
                      <m:t>⋅</m:t>
                    </m:r>
                    <m:r>
                      <m:rPr>
                        <m:sty m:val="p"/>
                      </m:rPr>
                      <a:rPr lang="en-US" sz="1100" b="0" i="0">
                        <a:latin typeface="Cambria Math" panose="02040503050406030204" pitchFamily="18" charset="0"/>
                      </a:rPr>
                      <m:t>Σ</m:t>
                    </m:r>
                    <m:r>
                      <a:rPr lang="en-US" sz="1100" b="0" i="0">
                        <a:latin typeface="Cambria Math" panose="02040503050406030204" pitchFamily="18" charset="0"/>
                      </a:rPr>
                      <m:t>=</m:t>
                    </m:r>
                  </m:oMath>
                </m:oMathPara>
              </a14:m>
              <a:endParaRPr lang="en-US" sz="1100"/>
            </a:p>
          </xdr:txBody>
        </xdr:sp>
      </mc:Choice>
      <mc:Fallback xmlns="">
        <xdr:sp macro="" textlink="">
          <xdr:nvSpPr>
            <xdr:cNvPr id="15" name="TextBox 14">
              <a:extLst>
                <a:ext uri="{FF2B5EF4-FFF2-40B4-BE49-F238E27FC236}">
                  <a16:creationId xmlns:a16="http://schemas.microsoft.com/office/drawing/2014/main" id="{AB82564A-C9EE-4EF5-B738-C93EE5930205}"/>
                </a:ext>
              </a:extLst>
            </xdr:cNvPr>
            <xdr:cNvSpPr txBox="1"/>
          </xdr:nvSpPr>
          <xdr:spPr>
            <a:xfrm>
              <a:off x="2914650" y="11530012"/>
              <a:ext cx="519694" cy="3168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Δ𝑥/2⋅Σ=</a:t>
              </a:r>
              <a:endParaRPr lang="en-US" sz="1100"/>
            </a:p>
          </xdr:txBody>
        </xdr:sp>
      </mc:Fallback>
    </mc:AlternateContent>
    <xdr:clientData/>
  </xdr:oneCellAnchor>
  <xdr:oneCellAnchor>
    <xdr:from>
      <xdr:col>10</xdr:col>
      <xdr:colOff>114300</xdr:colOff>
      <xdr:row>19</xdr:row>
      <xdr:rowOff>80962</xdr:rowOff>
    </xdr:from>
    <xdr:ext cx="1047750" cy="376238"/>
    <mc:AlternateContent xmlns:mc="http://schemas.openxmlformats.org/markup-compatibility/2006" xmlns:a14="http://schemas.microsoft.com/office/drawing/2010/main">
      <mc:Choice Requires="a14">
        <xdr:sp macro="" textlink="">
          <xdr:nvSpPr>
            <xdr:cNvPr id="16" name="TextBox 15">
              <a:extLst>
                <a:ext uri="{FF2B5EF4-FFF2-40B4-BE49-F238E27FC236}">
                  <a16:creationId xmlns:a16="http://schemas.microsoft.com/office/drawing/2014/main" id="{00000000-0008-0000-0600-000010000000}"/>
                </a:ext>
              </a:extLst>
            </xdr:cNvPr>
            <xdr:cNvSpPr txBox="1"/>
          </xdr:nvSpPr>
          <xdr:spPr>
            <a:xfrm>
              <a:off x="2628900" y="11101387"/>
              <a:ext cx="1047750" cy="3762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𝑆𝑢𝑚</m:t>
                    </m:r>
                    <m:r>
                      <a:rPr lang="en-US" sz="1100" b="0" i="1">
                        <a:latin typeface="Cambria Math" panose="02040503050406030204" pitchFamily="18" charset="0"/>
                      </a:rPr>
                      <m:t> </m:t>
                    </m:r>
                    <m:r>
                      <a:rPr lang="en-US" sz="1100" b="0" i="1">
                        <a:latin typeface="Cambria Math" panose="02040503050406030204" pitchFamily="18" charset="0"/>
                      </a:rPr>
                      <m:t>𝑜𝑓</m:t>
                    </m:r>
                    <m:r>
                      <a:rPr lang="en-US" sz="1100" b="0" i="1">
                        <a:latin typeface="Cambria Math" panose="02040503050406030204" pitchFamily="18" charset="0"/>
                      </a:rPr>
                      <m:t> </m:t>
                    </m:r>
                    <m:r>
                      <a:rPr lang="en-US" sz="1100" b="0" i="1">
                        <a:latin typeface="Cambria Math" panose="02040503050406030204" pitchFamily="18" charset="0"/>
                      </a:rPr>
                      <m:t>𝑎𝑙𝑙</m:t>
                    </m:r>
                    <m:r>
                      <a:rPr lang="en-US" sz="1100" b="0" i="1">
                        <a:latin typeface="Cambria Math" panose="02040503050406030204" pitchFamily="18" charset="0"/>
                      </a:rPr>
                      <m:t> </m:t>
                    </m:r>
                  </m:oMath>
                </m:oMathPara>
              </a14:m>
              <a:endParaRPr lang="en-US" sz="1100" b="0" i="1">
                <a:latin typeface="Cambria Math" panose="02040503050406030204" pitchFamily="18" charset="0"/>
              </a:endParaRPr>
            </a:p>
            <a:p>
              <a14:m>
                <m:oMath xmlns:m="http://schemas.openxmlformats.org/officeDocument/2006/math">
                  <m:r>
                    <a:rPr lang="en-US" sz="1100" b="0" i="1">
                      <a:latin typeface="Cambria Math" panose="02040503050406030204" pitchFamily="18" charset="0"/>
                    </a:rPr>
                    <m:t>𝐼𝑛𝑡𝑒𝑟𝑣𝑎𝑙𝑠</m:t>
                  </m:r>
                  <m:r>
                    <a:rPr lang="en-US" sz="1100" b="0" i="1">
                      <a:latin typeface="Cambria Math" panose="02040503050406030204" pitchFamily="18" charset="0"/>
                    </a:rPr>
                    <m:t>, </m:t>
                  </m:r>
                  <m:r>
                    <m:rPr>
                      <m:sty m:val="p"/>
                    </m:rPr>
                    <a:rPr lang="en-US" sz="1100" b="0" i="0">
                      <a:latin typeface="Cambria Math" panose="02040503050406030204" pitchFamily="18" charset="0"/>
                    </a:rPr>
                    <m:t>Σ</m:t>
                  </m:r>
                </m:oMath>
              </a14:m>
              <a:r>
                <a:rPr lang="en-US" sz="1100"/>
                <a:t>=</a:t>
              </a:r>
            </a:p>
          </xdr:txBody>
        </xdr:sp>
      </mc:Choice>
      <mc:Fallback xmlns="">
        <xdr:sp macro="" textlink="">
          <xdr:nvSpPr>
            <xdr:cNvPr id="16" name="TextBox 15">
              <a:extLst>
                <a:ext uri="{FF2B5EF4-FFF2-40B4-BE49-F238E27FC236}">
                  <a16:creationId xmlns:a16="http://schemas.microsoft.com/office/drawing/2014/main" id="{C1D26A6E-23CD-47AB-A38F-7DD47FB67B55}"/>
                </a:ext>
              </a:extLst>
            </xdr:cNvPr>
            <xdr:cNvSpPr txBox="1"/>
          </xdr:nvSpPr>
          <xdr:spPr>
            <a:xfrm>
              <a:off x="2628900" y="11101387"/>
              <a:ext cx="1047750" cy="3762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n-US" sz="1100" b="0" i="0">
                  <a:latin typeface="Cambria Math" panose="02040503050406030204" pitchFamily="18" charset="0"/>
                </a:rPr>
                <a:t>𝑆𝑢𝑚 𝑜𝑓 𝑎𝑙𝑙 </a:t>
              </a:r>
              <a:endParaRPr lang="en-US" sz="1100" b="0" i="1">
                <a:latin typeface="Cambria Math" panose="02040503050406030204" pitchFamily="18" charset="0"/>
              </a:endParaRPr>
            </a:p>
            <a:p>
              <a:r>
                <a:rPr lang="en-US" sz="1100" b="0" i="0">
                  <a:latin typeface="Cambria Math" panose="02040503050406030204" pitchFamily="18" charset="0"/>
                </a:rPr>
                <a:t>𝐼𝑛𝑡𝑒𝑟𝑣𝑎𝑙𝑠, Σ</a:t>
              </a:r>
              <a:r>
                <a:rPr lang="en-US" sz="1100"/>
                <a:t>=</a:t>
              </a:r>
            </a:p>
          </xdr:txBody>
        </xdr:sp>
      </mc:Fallback>
    </mc:AlternateContent>
    <xdr:clientData/>
  </xdr:oneCellAnchor>
  <xdr:oneCellAnchor>
    <xdr:from>
      <xdr:col>9</xdr:col>
      <xdr:colOff>161925</xdr:colOff>
      <xdr:row>20</xdr:row>
      <xdr:rowOff>128587</xdr:rowOff>
    </xdr:from>
    <xdr:ext cx="688971" cy="172227"/>
    <mc:AlternateContent xmlns:mc="http://schemas.openxmlformats.org/markup-compatibility/2006" xmlns:a14="http://schemas.microsoft.com/office/drawing/2010/main">
      <mc:Choice Requires="a14">
        <xdr:sp macro="" textlink="">
          <xdr:nvSpPr>
            <xdr:cNvPr id="17" name="TextBox 16">
              <a:extLst>
                <a:ext uri="{FF2B5EF4-FFF2-40B4-BE49-F238E27FC236}">
                  <a16:creationId xmlns:a16="http://schemas.microsoft.com/office/drawing/2014/main" id="{00000000-0008-0000-0600-000011000000}"/>
                </a:ext>
              </a:extLst>
            </xdr:cNvPr>
            <xdr:cNvSpPr txBox="1"/>
          </xdr:nvSpPr>
          <xdr:spPr>
            <a:xfrm>
              <a:off x="1762125" y="11606212"/>
              <a:ext cx="68897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𝑓</m:t>
                    </m:r>
                    <m:r>
                      <a:rPr lang="en-US" sz="1100" b="0" i="1">
                        <a:latin typeface="Cambria Math" panose="02040503050406030204" pitchFamily="18" charset="0"/>
                      </a:rPr>
                      <m:t>(</m:t>
                    </m:r>
                    <m:r>
                      <a:rPr lang="en-US" sz="1100" b="0" i="1">
                        <a:latin typeface="Cambria Math" panose="02040503050406030204" pitchFamily="18" charset="0"/>
                      </a:rPr>
                      <m:t>𝑎</m:t>
                    </m:r>
                    <m:r>
                      <a:rPr lang="en-US" sz="1100" b="0" i="1">
                        <a:latin typeface="Cambria Math" panose="02040503050406030204" pitchFamily="18" charset="0"/>
                      </a:rPr>
                      <m:t>+</m:t>
                    </m:r>
                    <m:r>
                      <a:rPr lang="en-US" sz="1100" b="0" i="1">
                        <a:latin typeface="Cambria Math" panose="02040503050406030204" pitchFamily="18" charset="0"/>
                      </a:rPr>
                      <m:t>𝑖</m:t>
                    </m:r>
                    <m:r>
                      <m:rPr>
                        <m:sty m:val="p"/>
                      </m:rPr>
                      <a:rPr lang="en-US" sz="1100" b="0" i="0">
                        <a:latin typeface="Cambria Math" panose="02040503050406030204" pitchFamily="18" charset="0"/>
                      </a:rPr>
                      <m:t>Δ</m:t>
                    </m:r>
                    <m:r>
                      <a:rPr lang="en-US" sz="1100" b="0" i="1">
                        <a:latin typeface="Cambria Math" panose="02040503050406030204" pitchFamily="18" charset="0"/>
                      </a:rPr>
                      <m:t>𝑥</m:t>
                    </m:r>
                    <m:r>
                      <a:rPr lang="en-US" sz="1100" b="0" i="1">
                        <a:latin typeface="Cambria Math" panose="02040503050406030204" pitchFamily="18" charset="0"/>
                      </a:rPr>
                      <m:t>)</m:t>
                    </m:r>
                  </m:oMath>
                </m:oMathPara>
              </a14:m>
              <a:endParaRPr lang="en-US" sz="1100"/>
            </a:p>
          </xdr:txBody>
        </xdr:sp>
      </mc:Choice>
      <mc:Fallback xmlns="">
        <xdr:sp macro="" textlink="">
          <xdr:nvSpPr>
            <xdr:cNvPr id="17" name="TextBox 16">
              <a:extLst>
                <a:ext uri="{FF2B5EF4-FFF2-40B4-BE49-F238E27FC236}">
                  <a16:creationId xmlns:a16="http://schemas.microsoft.com/office/drawing/2014/main" id="{500BE885-8FFB-4A29-A971-315F224C554C}"/>
                </a:ext>
              </a:extLst>
            </xdr:cNvPr>
            <xdr:cNvSpPr txBox="1"/>
          </xdr:nvSpPr>
          <xdr:spPr>
            <a:xfrm>
              <a:off x="1762125" y="11606212"/>
              <a:ext cx="68897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𝑓(𝑎+𝑖Δ𝑥)</a:t>
              </a:r>
              <a:endParaRPr lang="en-US" sz="1100"/>
            </a:p>
          </xdr:txBody>
        </xdr:sp>
      </mc:Fallback>
    </mc:AlternateContent>
    <xdr:clientData/>
  </xdr:oneCellAnchor>
  <xdr:oneCellAnchor>
    <xdr:from>
      <xdr:col>8</xdr:col>
      <xdr:colOff>180975</xdr:colOff>
      <xdr:row>20</xdr:row>
      <xdr:rowOff>147637</xdr:rowOff>
    </xdr:from>
    <xdr:ext cx="664990" cy="172227"/>
    <mc:AlternateContent xmlns:mc="http://schemas.openxmlformats.org/markup-compatibility/2006" xmlns:a14="http://schemas.microsoft.com/office/drawing/2010/main">
      <mc:Choice Requires="a14">
        <xdr:sp macro="" textlink="">
          <xdr:nvSpPr>
            <xdr:cNvPr id="18" name="TextBox 17">
              <a:extLst>
                <a:ext uri="{FF2B5EF4-FFF2-40B4-BE49-F238E27FC236}">
                  <a16:creationId xmlns:a16="http://schemas.microsoft.com/office/drawing/2014/main" id="{00000000-0008-0000-0600-000012000000}"/>
                </a:ext>
              </a:extLst>
            </xdr:cNvPr>
            <xdr:cNvSpPr txBox="1"/>
          </xdr:nvSpPr>
          <xdr:spPr>
            <a:xfrm>
              <a:off x="8362950" y="4814887"/>
              <a:ext cx="66499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𝐼𝑛𝑡𝑒𝑟𝑣𝑎𝑙</m:t>
                    </m:r>
                    <m:r>
                      <a:rPr lang="en-US" sz="1100" b="0" i="1">
                        <a:latin typeface="Cambria Math" panose="02040503050406030204" pitchFamily="18" charset="0"/>
                      </a:rPr>
                      <m:t>, </m:t>
                    </m:r>
                    <m:r>
                      <a:rPr lang="en-US" sz="1100" b="0" i="1">
                        <a:latin typeface="Cambria Math" panose="02040503050406030204" pitchFamily="18" charset="0"/>
                      </a:rPr>
                      <m:t>𝑖</m:t>
                    </m:r>
                  </m:oMath>
                </m:oMathPara>
              </a14:m>
              <a:endParaRPr lang="en-US" sz="1100"/>
            </a:p>
          </xdr:txBody>
        </xdr:sp>
      </mc:Choice>
      <mc:Fallback xmlns="">
        <xdr:sp macro="" textlink="">
          <xdr:nvSpPr>
            <xdr:cNvPr id="18" name="TextBox 17">
              <a:extLst>
                <a:ext uri="{FF2B5EF4-FFF2-40B4-BE49-F238E27FC236}">
                  <a16:creationId xmlns:a16="http://schemas.microsoft.com/office/drawing/2014/main" id="{B7071E8C-D42F-46DA-9B0A-2E6438ECD813}"/>
                </a:ext>
              </a:extLst>
            </xdr:cNvPr>
            <xdr:cNvSpPr txBox="1"/>
          </xdr:nvSpPr>
          <xdr:spPr>
            <a:xfrm>
              <a:off x="8362950" y="4814887"/>
              <a:ext cx="66499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𝐼𝑛𝑡𝑒𝑟𝑣𝑎𝑙, 𝑖</a:t>
              </a:r>
              <a:endParaRPr lang="en-US" sz="1100"/>
            </a:p>
          </xdr:txBody>
        </xdr:sp>
      </mc:Fallback>
    </mc:AlternateContent>
    <xdr:clientData/>
  </xdr:oneCellAnchor>
</xdr:wsDr>
</file>

<file path=xl/drawings/drawing7.xml><?xml version="1.0" encoding="utf-8"?>
<xdr:wsDr xmlns:xdr="http://schemas.openxmlformats.org/drawingml/2006/spreadsheetDrawing" xmlns:a="http://schemas.openxmlformats.org/drawingml/2006/main">
  <xdr:oneCellAnchor>
    <xdr:from>
      <xdr:col>0</xdr:col>
      <xdr:colOff>276225</xdr:colOff>
      <xdr:row>2</xdr:row>
      <xdr:rowOff>76200</xdr:rowOff>
    </xdr:from>
    <xdr:ext cx="1900649" cy="483915"/>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276225" y="457200"/>
              <a:ext cx="1900649" cy="483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nary>
                      <m:naryPr>
                        <m:ctrlPr>
                          <a:rPr lang="en-US" sz="1400" b="0" i="1">
                            <a:latin typeface="Cambria Math" panose="02040503050406030204" pitchFamily="18" charset="0"/>
                          </a:rPr>
                        </m:ctrlPr>
                      </m:naryPr>
                      <m:sub>
                        <m:r>
                          <a:rPr lang="en-US" sz="1400" b="0" i="1">
                            <a:latin typeface="Cambria Math" panose="02040503050406030204" pitchFamily="18" charset="0"/>
                          </a:rPr>
                          <m:t>0</m:t>
                        </m:r>
                      </m:sub>
                      <m:sup>
                        <m:r>
                          <a:rPr lang="en-US" sz="1400" b="0" i="1">
                            <a:latin typeface="Cambria Math" panose="02040503050406030204" pitchFamily="18" charset="0"/>
                          </a:rPr>
                          <m:t>1</m:t>
                        </m:r>
                      </m:sup>
                      <m:e>
                        <m:f>
                          <m:fPr>
                            <m:ctrlPr>
                              <a:rPr lang="en-US" sz="1400" b="0" i="1">
                                <a:latin typeface="Cambria Math" panose="02040503050406030204" pitchFamily="18" charset="0"/>
                              </a:rPr>
                            </m:ctrlPr>
                          </m:fPr>
                          <m:num>
                            <m:r>
                              <a:rPr lang="en-US" sz="1400" b="0" i="1">
                                <a:latin typeface="Cambria Math" panose="02040503050406030204" pitchFamily="18" charset="0"/>
                              </a:rPr>
                              <m:t>0.002⋅</m:t>
                            </m:r>
                            <m:d>
                              <m:dPr>
                                <m:ctrlPr>
                                  <a:rPr lang="en-US" sz="1400" b="0" i="1">
                                    <a:latin typeface="Cambria Math" panose="02040503050406030204" pitchFamily="18" charset="0"/>
                                  </a:rPr>
                                </m:ctrlPr>
                              </m:dPr>
                              <m:e>
                                <m:r>
                                  <a:rPr lang="en-US" sz="1400" b="0" i="1">
                                    <a:latin typeface="Cambria Math" panose="02040503050406030204" pitchFamily="18" charset="0"/>
                                  </a:rPr>
                                  <m:t>4</m:t>
                                </m:r>
                                <m:sSup>
                                  <m:sSupPr>
                                    <m:ctrlPr>
                                      <a:rPr lang="en-US" sz="1400" b="0" i="1">
                                        <a:latin typeface="Cambria Math" panose="02040503050406030204" pitchFamily="18" charset="0"/>
                                      </a:rPr>
                                    </m:ctrlPr>
                                  </m:sSupPr>
                                  <m:e>
                                    <m:r>
                                      <a:rPr lang="en-US" sz="1400" b="0" i="1">
                                        <a:latin typeface="Cambria Math" panose="02040503050406030204" pitchFamily="18" charset="0"/>
                                      </a:rPr>
                                      <m:t>𝑥</m:t>
                                    </m:r>
                                  </m:e>
                                  <m:sup>
                                    <m:r>
                                      <a:rPr lang="en-US" sz="1400" b="0" i="1">
                                        <a:latin typeface="Cambria Math" panose="02040503050406030204" pitchFamily="18" charset="0"/>
                                      </a:rPr>
                                      <m:t>2</m:t>
                                    </m:r>
                                  </m:sup>
                                </m:sSup>
                                <m:r>
                                  <a:rPr lang="en-US" sz="1400" b="0" i="1">
                                    <a:latin typeface="Cambria Math" panose="02040503050406030204" pitchFamily="18" charset="0"/>
                                  </a:rPr>
                                  <m:t>−</m:t>
                                </m:r>
                                <m:sSup>
                                  <m:sSupPr>
                                    <m:ctrlPr>
                                      <a:rPr lang="en-US" sz="1400" b="0" i="1">
                                        <a:latin typeface="Cambria Math" panose="02040503050406030204" pitchFamily="18" charset="0"/>
                                      </a:rPr>
                                    </m:ctrlPr>
                                  </m:sSupPr>
                                  <m:e>
                                    <m:r>
                                      <a:rPr lang="en-US" sz="1400" b="0" i="1">
                                        <a:latin typeface="Cambria Math" panose="02040503050406030204" pitchFamily="18" charset="0"/>
                                      </a:rPr>
                                      <m:t>𝑥</m:t>
                                    </m:r>
                                  </m:e>
                                  <m:sup>
                                    <m:r>
                                      <a:rPr lang="en-US" sz="1400" b="0" i="1">
                                        <a:latin typeface="Cambria Math" panose="02040503050406030204" pitchFamily="18" charset="0"/>
                                      </a:rPr>
                                      <m:t>3</m:t>
                                    </m:r>
                                  </m:sup>
                                </m:sSup>
                              </m:e>
                            </m:d>
                            <m:r>
                              <a:rPr lang="en-US" sz="1400" b="0" i="1">
                                <a:latin typeface="Cambria Math" panose="02040503050406030204" pitchFamily="18" charset="0"/>
                              </a:rPr>
                              <m:t>𝑑𝑥</m:t>
                            </m:r>
                          </m:num>
                          <m:den>
                            <m:d>
                              <m:dPr>
                                <m:ctrlPr>
                                  <a:rPr lang="en-US" sz="1400" b="0" i="1">
                                    <a:latin typeface="Cambria Math" panose="02040503050406030204" pitchFamily="18" charset="0"/>
                                  </a:rPr>
                                </m:ctrlPr>
                              </m:dPr>
                              <m:e>
                                <m:r>
                                  <a:rPr lang="en-US" sz="1400" b="0" i="1">
                                    <a:latin typeface="Cambria Math" panose="02040503050406030204" pitchFamily="18" charset="0"/>
                                  </a:rPr>
                                  <m:t>0.1+</m:t>
                                </m:r>
                                <m:func>
                                  <m:funcPr>
                                    <m:ctrlPr>
                                      <a:rPr lang="en-US" sz="1400" b="0" i="1">
                                        <a:latin typeface="Cambria Math" panose="02040503050406030204" pitchFamily="18" charset="0"/>
                                      </a:rPr>
                                    </m:ctrlPr>
                                  </m:funcPr>
                                  <m:fName>
                                    <m:r>
                                      <m:rPr>
                                        <m:sty m:val="p"/>
                                      </m:rPr>
                                      <a:rPr lang="en-US" sz="1400" b="0" i="0">
                                        <a:latin typeface="Cambria Math" panose="02040503050406030204" pitchFamily="18" charset="0"/>
                                      </a:rPr>
                                      <m:t>sin</m:t>
                                    </m:r>
                                  </m:fName>
                                  <m:e>
                                    <m:d>
                                      <m:dPr>
                                        <m:ctrlPr>
                                          <a:rPr lang="en-US" sz="1400" b="0" i="1">
                                            <a:latin typeface="Cambria Math" panose="02040503050406030204" pitchFamily="18" charset="0"/>
                                          </a:rPr>
                                        </m:ctrlPr>
                                      </m:dPr>
                                      <m:e>
                                        <m:r>
                                          <a:rPr lang="en-US" sz="1400" b="0" i="1">
                                            <a:latin typeface="Cambria Math" panose="02040503050406030204" pitchFamily="18" charset="0"/>
                                          </a:rPr>
                                          <m:t>0.063</m:t>
                                        </m:r>
                                        <m:r>
                                          <a:rPr lang="en-US" sz="1400" b="0" i="1">
                                            <a:latin typeface="Cambria Math" panose="02040503050406030204" pitchFamily="18" charset="0"/>
                                          </a:rPr>
                                          <m:t>𝑥</m:t>
                                        </m:r>
                                      </m:e>
                                    </m:d>
                                  </m:e>
                                </m:func>
                              </m:e>
                            </m:d>
                          </m:den>
                        </m:f>
                      </m:e>
                    </m:nary>
                  </m:oMath>
                </m:oMathPara>
              </a14:m>
              <a:endParaRPr lang="en-US" sz="1400"/>
            </a:p>
          </xdr:txBody>
        </xdr:sp>
      </mc:Choice>
      <mc:Fallback xmlns="">
        <xdr:sp macro="" textlink="">
          <xdr:nvSpPr>
            <xdr:cNvPr id="2" name="TextBox 1">
              <a:extLst>
                <a:ext uri="{FF2B5EF4-FFF2-40B4-BE49-F238E27FC236}">
                  <a16:creationId xmlns:a16="http://schemas.microsoft.com/office/drawing/2014/main" id="{8F36BE7F-2125-4FB1-B179-4829A43CABB7}"/>
                </a:ext>
              </a:extLst>
            </xdr:cNvPr>
            <xdr:cNvSpPr txBox="1"/>
          </xdr:nvSpPr>
          <xdr:spPr>
            <a:xfrm>
              <a:off x="276225" y="457200"/>
              <a:ext cx="1900649" cy="483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400" b="0" i="0">
                  <a:latin typeface="Cambria Math" panose="02040503050406030204" pitchFamily="18" charset="0"/>
                </a:rPr>
                <a:t>∫24_0^1▒(0.002⋅(4𝑥^2−𝑥^3 )𝑑𝑥)/((0.1+sin⁡(0.063𝑥) ) )</a:t>
              </a:r>
              <a:endParaRPr lang="en-US" sz="1400"/>
            </a:p>
          </xdr:txBody>
        </xdr:sp>
      </mc:Fallback>
    </mc:AlternateContent>
    <xdr:clientData/>
  </xdr:oneCellAnchor>
  <xdr:oneCellAnchor>
    <xdr:from>
      <xdr:col>1</xdr:col>
      <xdr:colOff>550252</xdr:colOff>
      <xdr:row>19</xdr:row>
      <xdr:rowOff>141043</xdr:rowOff>
    </xdr:from>
    <xdr:ext cx="339900" cy="172227"/>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1159852" y="4312993"/>
              <a:ext cx="33990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n-US" sz="1100" b="0" i="0">
                        <a:latin typeface="Cambria Math" panose="02040503050406030204" pitchFamily="18" charset="0"/>
                      </a:rPr>
                      <m:t>Δ</m:t>
                    </m:r>
                    <m:r>
                      <a:rPr lang="en-US" sz="1100" b="0" i="1">
                        <a:latin typeface="Cambria Math" panose="02040503050406030204" pitchFamily="18" charset="0"/>
                      </a:rPr>
                      <m:t>𝑥</m:t>
                    </m:r>
                    <m:r>
                      <a:rPr lang="en-US" sz="1100" b="0" i="1">
                        <a:latin typeface="Cambria Math" panose="02040503050406030204" pitchFamily="18" charset="0"/>
                      </a:rPr>
                      <m:t>=</m:t>
                    </m:r>
                  </m:oMath>
                </m:oMathPara>
              </a14:m>
              <a:endParaRPr lang="en-US" sz="1000"/>
            </a:p>
          </xdr:txBody>
        </xdr:sp>
      </mc:Choice>
      <mc:Fallback xmlns="">
        <xdr:sp macro="" textlink="">
          <xdr:nvSpPr>
            <xdr:cNvPr id="3" name="TextBox 2">
              <a:extLst>
                <a:ext uri="{FF2B5EF4-FFF2-40B4-BE49-F238E27FC236}">
                  <a16:creationId xmlns:a16="http://schemas.microsoft.com/office/drawing/2014/main" id="{118227B1-A379-4C51-A160-43696DEBAB0E}"/>
                </a:ext>
              </a:extLst>
            </xdr:cNvPr>
            <xdr:cNvSpPr txBox="1"/>
          </xdr:nvSpPr>
          <xdr:spPr>
            <a:xfrm>
              <a:off x="1159852" y="4312993"/>
              <a:ext cx="33990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Δ𝑥=</a:t>
              </a:r>
              <a:endParaRPr lang="en-US" sz="1000"/>
            </a:p>
          </xdr:txBody>
        </xdr:sp>
      </mc:Fallback>
    </mc:AlternateContent>
    <xdr:clientData/>
  </xdr:oneCellAnchor>
  <xdr:oneCellAnchor>
    <xdr:from>
      <xdr:col>3</xdr:col>
      <xdr:colOff>400050</xdr:colOff>
      <xdr:row>20</xdr:row>
      <xdr:rowOff>52387</xdr:rowOff>
    </xdr:from>
    <xdr:ext cx="519694" cy="316882"/>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2914650" y="4719637"/>
              <a:ext cx="519694" cy="3168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1100" b="0" i="1">
                            <a:latin typeface="Cambria Math" panose="02040503050406030204" pitchFamily="18" charset="0"/>
                          </a:rPr>
                        </m:ctrlPr>
                      </m:fPr>
                      <m:num>
                        <m:r>
                          <m:rPr>
                            <m:sty m:val="p"/>
                          </m:rPr>
                          <a:rPr lang="en-US" sz="1100" b="0" i="0">
                            <a:latin typeface="Cambria Math" panose="02040503050406030204" pitchFamily="18" charset="0"/>
                          </a:rPr>
                          <m:t>Δ</m:t>
                        </m:r>
                        <m:r>
                          <a:rPr lang="en-US" sz="1100" b="0" i="1">
                            <a:latin typeface="Cambria Math" panose="02040503050406030204" pitchFamily="18" charset="0"/>
                          </a:rPr>
                          <m:t>𝑥</m:t>
                        </m:r>
                      </m:num>
                      <m:den>
                        <m:r>
                          <a:rPr lang="en-US" sz="1100" b="0" i="1">
                            <a:latin typeface="Cambria Math" panose="02040503050406030204" pitchFamily="18" charset="0"/>
                          </a:rPr>
                          <m:t>3</m:t>
                        </m:r>
                      </m:den>
                    </m:f>
                    <m:r>
                      <a:rPr lang="en-US" sz="1100" b="0" i="1">
                        <a:latin typeface="Cambria Math" panose="02040503050406030204" pitchFamily="18" charset="0"/>
                      </a:rPr>
                      <m:t>⋅</m:t>
                    </m:r>
                    <m:r>
                      <m:rPr>
                        <m:sty m:val="p"/>
                      </m:rPr>
                      <a:rPr lang="en-US" sz="1100" b="0" i="0">
                        <a:latin typeface="Cambria Math" panose="02040503050406030204" pitchFamily="18" charset="0"/>
                      </a:rPr>
                      <m:t>Σ</m:t>
                    </m:r>
                    <m:r>
                      <a:rPr lang="en-US" sz="1100" b="0" i="0">
                        <a:latin typeface="Cambria Math" panose="02040503050406030204" pitchFamily="18" charset="0"/>
                      </a:rPr>
                      <m:t>=</m:t>
                    </m:r>
                  </m:oMath>
                </m:oMathPara>
              </a14:m>
              <a:endParaRPr lang="en-US" sz="1100"/>
            </a:p>
          </xdr:txBody>
        </xdr:sp>
      </mc:Choice>
      <mc:Fallback xmlns="">
        <xdr:sp macro="" textlink="">
          <xdr:nvSpPr>
            <xdr:cNvPr id="4" name="TextBox 3">
              <a:extLst>
                <a:ext uri="{FF2B5EF4-FFF2-40B4-BE49-F238E27FC236}">
                  <a16:creationId xmlns:a16="http://schemas.microsoft.com/office/drawing/2014/main" id="{0319FCEC-7BC0-417D-86C1-7EDA43A3FC02}"/>
                </a:ext>
              </a:extLst>
            </xdr:cNvPr>
            <xdr:cNvSpPr txBox="1"/>
          </xdr:nvSpPr>
          <xdr:spPr>
            <a:xfrm>
              <a:off x="2914650" y="4719637"/>
              <a:ext cx="519694" cy="3168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Δ𝑥/3⋅Σ=</a:t>
              </a:r>
              <a:endParaRPr lang="en-US" sz="1100"/>
            </a:p>
          </xdr:txBody>
        </xdr:sp>
      </mc:Fallback>
    </mc:AlternateContent>
    <xdr:clientData/>
  </xdr:oneCellAnchor>
  <xdr:oneCellAnchor>
    <xdr:from>
      <xdr:col>3</xdr:col>
      <xdr:colOff>114300</xdr:colOff>
      <xdr:row>19</xdr:row>
      <xdr:rowOff>80962</xdr:rowOff>
    </xdr:from>
    <xdr:ext cx="1047750" cy="37623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2628900" y="4252912"/>
              <a:ext cx="1047750" cy="3762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𝑆𝑢𝑚</m:t>
                    </m:r>
                    <m:r>
                      <a:rPr lang="en-US" sz="1100" b="0" i="1">
                        <a:latin typeface="Cambria Math" panose="02040503050406030204" pitchFamily="18" charset="0"/>
                      </a:rPr>
                      <m:t> </m:t>
                    </m:r>
                    <m:r>
                      <a:rPr lang="en-US" sz="1100" b="0" i="1">
                        <a:latin typeface="Cambria Math" panose="02040503050406030204" pitchFamily="18" charset="0"/>
                      </a:rPr>
                      <m:t>𝑜𝑓</m:t>
                    </m:r>
                    <m:r>
                      <a:rPr lang="en-US" sz="1100" b="0" i="1">
                        <a:latin typeface="Cambria Math" panose="02040503050406030204" pitchFamily="18" charset="0"/>
                      </a:rPr>
                      <m:t> </m:t>
                    </m:r>
                    <m:r>
                      <a:rPr lang="en-US" sz="1100" b="0" i="1">
                        <a:latin typeface="Cambria Math" panose="02040503050406030204" pitchFamily="18" charset="0"/>
                      </a:rPr>
                      <m:t>𝑎𝑙𝑙</m:t>
                    </m:r>
                    <m:r>
                      <a:rPr lang="en-US" sz="1100" b="0" i="1">
                        <a:latin typeface="Cambria Math" panose="02040503050406030204" pitchFamily="18" charset="0"/>
                      </a:rPr>
                      <m:t> </m:t>
                    </m:r>
                  </m:oMath>
                </m:oMathPara>
              </a14:m>
              <a:endParaRPr lang="en-US" sz="1100" b="0" i="1">
                <a:latin typeface="Cambria Math" panose="02040503050406030204" pitchFamily="18" charset="0"/>
              </a:endParaRPr>
            </a:p>
            <a:p>
              <a14:m>
                <m:oMath xmlns:m="http://schemas.openxmlformats.org/officeDocument/2006/math">
                  <m:r>
                    <a:rPr lang="en-US" sz="1100" b="0" i="1">
                      <a:latin typeface="Cambria Math" panose="02040503050406030204" pitchFamily="18" charset="0"/>
                    </a:rPr>
                    <m:t>𝐼𝑛𝑡𝑒𝑟𝑣𝑎𝑙𝑠</m:t>
                  </m:r>
                  <m:r>
                    <a:rPr lang="en-US" sz="1100" b="0" i="1">
                      <a:latin typeface="Cambria Math" panose="02040503050406030204" pitchFamily="18" charset="0"/>
                    </a:rPr>
                    <m:t>, </m:t>
                  </m:r>
                  <m:r>
                    <m:rPr>
                      <m:sty m:val="p"/>
                    </m:rPr>
                    <a:rPr lang="en-US" sz="1100" b="0" i="0">
                      <a:latin typeface="Cambria Math" panose="02040503050406030204" pitchFamily="18" charset="0"/>
                    </a:rPr>
                    <m:t>Σ</m:t>
                  </m:r>
                </m:oMath>
              </a14:m>
              <a:r>
                <a:rPr lang="en-US" sz="1100"/>
                <a:t>=</a:t>
              </a:r>
            </a:p>
          </xdr:txBody>
        </xdr:sp>
      </mc:Choice>
      <mc:Fallback xmlns="">
        <xdr:sp macro="" textlink="">
          <xdr:nvSpPr>
            <xdr:cNvPr id="5" name="TextBox 4">
              <a:extLst>
                <a:ext uri="{FF2B5EF4-FFF2-40B4-BE49-F238E27FC236}">
                  <a16:creationId xmlns:a16="http://schemas.microsoft.com/office/drawing/2014/main" id="{158356EE-AF14-4A17-ACA6-9C5A8D9C14DA}"/>
                </a:ext>
              </a:extLst>
            </xdr:cNvPr>
            <xdr:cNvSpPr txBox="1"/>
          </xdr:nvSpPr>
          <xdr:spPr>
            <a:xfrm>
              <a:off x="2628900" y="4252912"/>
              <a:ext cx="1047750" cy="3762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n-US" sz="1100" b="0" i="0">
                  <a:latin typeface="Cambria Math" panose="02040503050406030204" pitchFamily="18" charset="0"/>
                </a:rPr>
                <a:t>𝑆𝑢𝑚 𝑜𝑓 𝑎𝑙𝑙 </a:t>
              </a:r>
              <a:endParaRPr lang="en-US" sz="1100" b="0" i="1">
                <a:latin typeface="Cambria Math" panose="02040503050406030204" pitchFamily="18" charset="0"/>
              </a:endParaRPr>
            </a:p>
            <a:p>
              <a:r>
                <a:rPr lang="en-US" sz="1100" b="0" i="0">
                  <a:latin typeface="Cambria Math" panose="02040503050406030204" pitchFamily="18" charset="0"/>
                </a:rPr>
                <a:t>𝐼𝑛𝑡𝑒𝑟𝑣𝑎𝑙𝑠, Σ</a:t>
              </a:r>
              <a:r>
                <a:rPr lang="en-US" sz="1100"/>
                <a:t>=</a:t>
              </a:r>
            </a:p>
          </xdr:txBody>
        </xdr:sp>
      </mc:Fallback>
    </mc:AlternateContent>
    <xdr:clientData/>
  </xdr:oneCellAnchor>
  <xdr:oneCellAnchor>
    <xdr:from>
      <xdr:col>2</xdr:col>
      <xdr:colOff>123825</xdr:colOff>
      <xdr:row>20</xdr:row>
      <xdr:rowOff>157162</xdr:rowOff>
    </xdr:from>
    <xdr:ext cx="688971" cy="172227"/>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1724025" y="4824412"/>
              <a:ext cx="68897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𝑓</m:t>
                    </m:r>
                    <m:r>
                      <a:rPr lang="en-US" sz="1100" b="0" i="1">
                        <a:latin typeface="Cambria Math" panose="02040503050406030204" pitchFamily="18" charset="0"/>
                      </a:rPr>
                      <m:t>(</m:t>
                    </m:r>
                    <m:r>
                      <a:rPr lang="en-US" sz="1100" b="0" i="1">
                        <a:latin typeface="Cambria Math" panose="02040503050406030204" pitchFamily="18" charset="0"/>
                      </a:rPr>
                      <m:t>𝑎</m:t>
                    </m:r>
                    <m:r>
                      <a:rPr lang="en-US" sz="1100" b="0" i="1">
                        <a:latin typeface="Cambria Math" panose="02040503050406030204" pitchFamily="18" charset="0"/>
                      </a:rPr>
                      <m:t>+</m:t>
                    </m:r>
                    <m:r>
                      <a:rPr lang="en-US" sz="1100" b="0" i="1">
                        <a:latin typeface="Cambria Math" panose="02040503050406030204" pitchFamily="18" charset="0"/>
                      </a:rPr>
                      <m:t>𝑖</m:t>
                    </m:r>
                    <m:r>
                      <m:rPr>
                        <m:sty m:val="p"/>
                      </m:rPr>
                      <a:rPr lang="en-US" sz="1100" b="0" i="0">
                        <a:latin typeface="Cambria Math" panose="02040503050406030204" pitchFamily="18" charset="0"/>
                      </a:rPr>
                      <m:t>Δ</m:t>
                    </m:r>
                    <m:r>
                      <a:rPr lang="en-US" sz="1100" b="0" i="1">
                        <a:latin typeface="Cambria Math" panose="02040503050406030204" pitchFamily="18" charset="0"/>
                      </a:rPr>
                      <m:t>𝑥</m:t>
                    </m:r>
                    <m:r>
                      <a:rPr lang="en-US" sz="1100" b="0" i="1">
                        <a:latin typeface="Cambria Math" panose="02040503050406030204" pitchFamily="18" charset="0"/>
                      </a:rPr>
                      <m:t>)</m:t>
                    </m:r>
                  </m:oMath>
                </m:oMathPara>
              </a14:m>
              <a:endParaRPr lang="en-US" sz="1100"/>
            </a:p>
          </xdr:txBody>
        </xdr:sp>
      </mc:Choice>
      <mc:Fallback xmlns="">
        <xdr:sp macro="" textlink="">
          <xdr:nvSpPr>
            <xdr:cNvPr id="7" name="TextBox 6">
              <a:extLst>
                <a:ext uri="{FF2B5EF4-FFF2-40B4-BE49-F238E27FC236}">
                  <a16:creationId xmlns:a16="http://schemas.microsoft.com/office/drawing/2014/main" id="{371D2963-DC25-4CA1-B194-9591691DD57A}"/>
                </a:ext>
              </a:extLst>
            </xdr:cNvPr>
            <xdr:cNvSpPr txBox="1"/>
          </xdr:nvSpPr>
          <xdr:spPr>
            <a:xfrm>
              <a:off x="1724025" y="4824412"/>
              <a:ext cx="68897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𝑓(𝑎+𝑖Δ𝑥)</a:t>
              </a:r>
              <a:endParaRPr lang="en-US" sz="1100"/>
            </a:p>
          </xdr:txBody>
        </xdr:sp>
      </mc:Fallback>
    </mc:AlternateContent>
    <xdr:clientData/>
  </xdr:oneCellAnchor>
  <xdr:oneCellAnchor>
    <xdr:from>
      <xdr:col>1</xdr:col>
      <xdr:colOff>114300</xdr:colOff>
      <xdr:row>20</xdr:row>
      <xdr:rowOff>147637</xdr:rowOff>
    </xdr:from>
    <xdr:ext cx="664990" cy="172227"/>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700-000008000000}"/>
                </a:ext>
              </a:extLst>
            </xdr:cNvPr>
            <xdr:cNvSpPr txBox="1"/>
          </xdr:nvSpPr>
          <xdr:spPr>
            <a:xfrm>
              <a:off x="723900" y="4814887"/>
              <a:ext cx="66499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𝐼𝑛𝑡𝑒𝑟𝑣𝑎𝑙</m:t>
                    </m:r>
                    <m:r>
                      <a:rPr lang="en-US" sz="1100" b="0" i="1">
                        <a:latin typeface="Cambria Math" panose="02040503050406030204" pitchFamily="18" charset="0"/>
                      </a:rPr>
                      <m:t>, </m:t>
                    </m:r>
                    <m:r>
                      <a:rPr lang="en-US" sz="1100" b="0" i="1">
                        <a:latin typeface="Cambria Math" panose="02040503050406030204" pitchFamily="18" charset="0"/>
                      </a:rPr>
                      <m:t>𝑖</m:t>
                    </m:r>
                  </m:oMath>
                </m:oMathPara>
              </a14:m>
              <a:endParaRPr lang="en-US" sz="1100"/>
            </a:p>
          </xdr:txBody>
        </xdr:sp>
      </mc:Choice>
      <mc:Fallback xmlns="">
        <xdr:sp macro="" textlink="">
          <xdr:nvSpPr>
            <xdr:cNvPr id="8" name="TextBox 7">
              <a:extLst>
                <a:ext uri="{FF2B5EF4-FFF2-40B4-BE49-F238E27FC236}">
                  <a16:creationId xmlns:a16="http://schemas.microsoft.com/office/drawing/2014/main" id="{7470C0D0-07AC-4200-81AE-17094DE97B2B}"/>
                </a:ext>
              </a:extLst>
            </xdr:cNvPr>
            <xdr:cNvSpPr txBox="1"/>
          </xdr:nvSpPr>
          <xdr:spPr>
            <a:xfrm>
              <a:off x="723900" y="4814887"/>
              <a:ext cx="66499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𝐼𝑛𝑡𝑒𝑟𝑣𝑎𝑙, 𝑖</a:t>
              </a:r>
              <a:endParaRPr lang="en-US" sz="1100"/>
            </a:p>
          </xdr:txBody>
        </xdr:sp>
      </mc:Fallback>
    </mc:AlternateContent>
    <xdr:clientData/>
  </xdr:oneCellAnchor>
  <mc:AlternateContent xmlns:mc="http://schemas.openxmlformats.org/markup-compatibility/2006">
    <mc:Choice xmlns:a14="http://schemas.microsoft.com/office/drawing/2010/main" Requires="a14">
      <xdr:twoCellAnchor>
        <xdr:from>
          <xdr:col>1</xdr:col>
          <xdr:colOff>333375</xdr:colOff>
          <xdr:row>12</xdr:row>
          <xdr:rowOff>85725</xdr:rowOff>
        </xdr:from>
        <xdr:to>
          <xdr:col>4</xdr:col>
          <xdr:colOff>1657350</xdr:colOff>
          <xdr:row>12</xdr:row>
          <xdr:rowOff>638175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7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Exercise 5.15</a:t>
              </a:r>
            </a:p>
          </xdr:txBody>
        </xdr:sp>
        <xdr:clientData fPrintsWithSheet="0"/>
      </xdr:twoCellAnchor>
    </mc:Choice>
    <mc:Fallback/>
  </mc:AlternateContent>
  <xdr:oneCellAnchor>
    <xdr:from>
      <xdr:col>7</xdr:col>
      <xdr:colOff>550252</xdr:colOff>
      <xdr:row>19</xdr:row>
      <xdr:rowOff>141043</xdr:rowOff>
    </xdr:from>
    <xdr:ext cx="339900" cy="172227"/>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00000000-0008-0000-0700-00000A000000}"/>
                </a:ext>
              </a:extLst>
            </xdr:cNvPr>
            <xdr:cNvSpPr txBox="1"/>
          </xdr:nvSpPr>
          <xdr:spPr>
            <a:xfrm>
              <a:off x="1159852" y="4398718"/>
              <a:ext cx="33990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n-US" sz="1100" b="0" i="0">
                        <a:latin typeface="Cambria Math" panose="02040503050406030204" pitchFamily="18" charset="0"/>
                      </a:rPr>
                      <m:t>Δ</m:t>
                    </m:r>
                    <m:r>
                      <a:rPr lang="en-US" sz="1100" b="0" i="1">
                        <a:latin typeface="Cambria Math" panose="02040503050406030204" pitchFamily="18" charset="0"/>
                      </a:rPr>
                      <m:t>𝑥</m:t>
                    </m:r>
                    <m:r>
                      <a:rPr lang="en-US" sz="1100" b="0" i="1">
                        <a:latin typeface="Cambria Math" panose="02040503050406030204" pitchFamily="18" charset="0"/>
                      </a:rPr>
                      <m:t>=</m:t>
                    </m:r>
                  </m:oMath>
                </m:oMathPara>
              </a14:m>
              <a:endParaRPr lang="en-US" sz="1000"/>
            </a:p>
          </xdr:txBody>
        </xdr:sp>
      </mc:Choice>
      <mc:Fallback xmlns="">
        <xdr:sp macro="" textlink="">
          <xdr:nvSpPr>
            <xdr:cNvPr id="10" name="TextBox 9">
              <a:extLst>
                <a:ext uri="{FF2B5EF4-FFF2-40B4-BE49-F238E27FC236}">
                  <a16:creationId xmlns:a16="http://schemas.microsoft.com/office/drawing/2014/main" id="{3E86B5F4-805F-44BD-9E5B-F4106154A78A}"/>
                </a:ext>
              </a:extLst>
            </xdr:cNvPr>
            <xdr:cNvSpPr txBox="1"/>
          </xdr:nvSpPr>
          <xdr:spPr>
            <a:xfrm>
              <a:off x="1159852" y="4398718"/>
              <a:ext cx="33990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Δ𝑥=</a:t>
              </a:r>
              <a:endParaRPr lang="en-US" sz="1000"/>
            </a:p>
          </xdr:txBody>
        </xdr:sp>
      </mc:Fallback>
    </mc:AlternateContent>
    <xdr:clientData/>
  </xdr:oneCellAnchor>
  <xdr:oneCellAnchor>
    <xdr:from>
      <xdr:col>9</xdr:col>
      <xdr:colOff>400050</xdr:colOff>
      <xdr:row>20</xdr:row>
      <xdr:rowOff>52387</xdr:rowOff>
    </xdr:from>
    <xdr:ext cx="519694" cy="316882"/>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00000000-0008-0000-0700-00000B000000}"/>
                </a:ext>
              </a:extLst>
            </xdr:cNvPr>
            <xdr:cNvSpPr txBox="1"/>
          </xdr:nvSpPr>
          <xdr:spPr>
            <a:xfrm>
              <a:off x="2914650" y="4795837"/>
              <a:ext cx="519694" cy="3168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1100" b="0" i="1">
                            <a:latin typeface="Cambria Math" panose="02040503050406030204" pitchFamily="18" charset="0"/>
                          </a:rPr>
                        </m:ctrlPr>
                      </m:fPr>
                      <m:num>
                        <m:r>
                          <m:rPr>
                            <m:sty m:val="p"/>
                          </m:rPr>
                          <a:rPr lang="en-US" sz="1100" b="0" i="0">
                            <a:latin typeface="Cambria Math" panose="02040503050406030204" pitchFamily="18" charset="0"/>
                          </a:rPr>
                          <m:t>Δ</m:t>
                        </m:r>
                        <m:r>
                          <a:rPr lang="en-US" sz="1100" b="0" i="1">
                            <a:latin typeface="Cambria Math" panose="02040503050406030204" pitchFamily="18" charset="0"/>
                          </a:rPr>
                          <m:t>𝑥</m:t>
                        </m:r>
                      </m:num>
                      <m:den>
                        <m:r>
                          <a:rPr lang="en-US" sz="1100" b="0" i="1">
                            <a:latin typeface="Cambria Math" panose="02040503050406030204" pitchFamily="18" charset="0"/>
                          </a:rPr>
                          <m:t>3</m:t>
                        </m:r>
                      </m:den>
                    </m:f>
                    <m:r>
                      <a:rPr lang="en-US" sz="1100" b="0" i="1">
                        <a:latin typeface="Cambria Math" panose="02040503050406030204" pitchFamily="18" charset="0"/>
                      </a:rPr>
                      <m:t>⋅</m:t>
                    </m:r>
                    <m:r>
                      <m:rPr>
                        <m:sty m:val="p"/>
                      </m:rPr>
                      <a:rPr lang="en-US" sz="1100" b="0" i="0">
                        <a:latin typeface="Cambria Math" panose="02040503050406030204" pitchFamily="18" charset="0"/>
                      </a:rPr>
                      <m:t>Σ</m:t>
                    </m:r>
                    <m:r>
                      <a:rPr lang="en-US" sz="1100" b="0" i="0">
                        <a:latin typeface="Cambria Math" panose="02040503050406030204" pitchFamily="18" charset="0"/>
                      </a:rPr>
                      <m:t>=</m:t>
                    </m:r>
                  </m:oMath>
                </m:oMathPara>
              </a14:m>
              <a:endParaRPr lang="en-US" sz="1100"/>
            </a:p>
          </xdr:txBody>
        </xdr:sp>
      </mc:Choice>
      <mc:Fallback xmlns="">
        <xdr:sp macro="" textlink="">
          <xdr:nvSpPr>
            <xdr:cNvPr id="11" name="TextBox 10">
              <a:extLst>
                <a:ext uri="{FF2B5EF4-FFF2-40B4-BE49-F238E27FC236}">
                  <a16:creationId xmlns:a16="http://schemas.microsoft.com/office/drawing/2014/main" id="{5F1C57C8-B9CC-4DD7-A738-21194AAEDC12}"/>
                </a:ext>
              </a:extLst>
            </xdr:cNvPr>
            <xdr:cNvSpPr txBox="1"/>
          </xdr:nvSpPr>
          <xdr:spPr>
            <a:xfrm>
              <a:off x="2914650" y="4795837"/>
              <a:ext cx="519694" cy="3168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Δ𝑥/3⋅Σ=</a:t>
              </a:r>
              <a:endParaRPr lang="en-US" sz="1100"/>
            </a:p>
          </xdr:txBody>
        </xdr:sp>
      </mc:Fallback>
    </mc:AlternateContent>
    <xdr:clientData/>
  </xdr:oneCellAnchor>
  <xdr:oneCellAnchor>
    <xdr:from>
      <xdr:col>9</xdr:col>
      <xdr:colOff>114300</xdr:colOff>
      <xdr:row>19</xdr:row>
      <xdr:rowOff>80962</xdr:rowOff>
    </xdr:from>
    <xdr:ext cx="1047750" cy="376238"/>
    <mc:AlternateContent xmlns:mc="http://schemas.openxmlformats.org/markup-compatibility/2006" xmlns:a14="http://schemas.microsoft.com/office/drawing/2010/main">
      <mc:Choice Requires="a14">
        <xdr:sp macro="" textlink="">
          <xdr:nvSpPr>
            <xdr:cNvPr id="12" name="TextBox 11">
              <a:extLst>
                <a:ext uri="{FF2B5EF4-FFF2-40B4-BE49-F238E27FC236}">
                  <a16:creationId xmlns:a16="http://schemas.microsoft.com/office/drawing/2014/main" id="{00000000-0008-0000-0700-00000C000000}"/>
                </a:ext>
              </a:extLst>
            </xdr:cNvPr>
            <xdr:cNvSpPr txBox="1"/>
          </xdr:nvSpPr>
          <xdr:spPr>
            <a:xfrm>
              <a:off x="2628900" y="4338637"/>
              <a:ext cx="1047750" cy="3762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𝑆𝑢𝑚</m:t>
                    </m:r>
                    <m:r>
                      <a:rPr lang="en-US" sz="1100" b="0" i="1">
                        <a:latin typeface="Cambria Math" panose="02040503050406030204" pitchFamily="18" charset="0"/>
                      </a:rPr>
                      <m:t> </m:t>
                    </m:r>
                    <m:r>
                      <a:rPr lang="en-US" sz="1100" b="0" i="1">
                        <a:latin typeface="Cambria Math" panose="02040503050406030204" pitchFamily="18" charset="0"/>
                      </a:rPr>
                      <m:t>𝑜𝑓</m:t>
                    </m:r>
                    <m:r>
                      <a:rPr lang="en-US" sz="1100" b="0" i="1">
                        <a:latin typeface="Cambria Math" panose="02040503050406030204" pitchFamily="18" charset="0"/>
                      </a:rPr>
                      <m:t> </m:t>
                    </m:r>
                    <m:r>
                      <a:rPr lang="en-US" sz="1100" b="0" i="1">
                        <a:latin typeface="Cambria Math" panose="02040503050406030204" pitchFamily="18" charset="0"/>
                      </a:rPr>
                      <m:t>𝑎𝑙𝑙</m:t>
                    </m:r>
                    <m:r>
                      <a:rPr lang="en-US" sz="1100" b="0" i="1">
                        <a:latin typeface="Cambria Math" panose="02040503050406030204" pitchFamily="18" charset="0"/>
                      </a:rPr>
                      <m:t> </m:t>
                    </m:r>
                  </m:oMath>
                </m:oMathPara>
              </a14:m>
              <a:endParaRPr lang="en-US" sz="1100" b="0" i="1">
                <a:latin typeface="Cambria Math" panose="02040503050406030204" pitchFamily="18" charset="0"/>
              </a:endParaRPr>
            </a:p>
            <a:p>
              <a14:m>
                <m:oMath xmlns:m="http://schemas.openxmlformats.org/officeDocument/2006/math">
                  <m:r>
                    <a:rPr lang="en-US" sz="1100" b="0" i="1">
                      <a:latin typeface="Cambria Math" panose="02040503050406030204" pitchFamily="18" charset="0"/>
                    </a:rPr>
                    <m:t>𝐼𝑛𝑡𝑒𝑟𝑣𝑎𝑙𝑠</m:t>
                  </m:r>
                  <m:r>
                    <a:rPr lang="en-US" sz="1100" b="0" i="1">
                      <a:latin typeface="Cambria Math" panose="02040503050406030204" pitchFamily="18" charset="0"/>
                    </a:rPr>
                    <m:t>, </m:t>
                  </m:r>
                  <m:r>
                    <m:rPr>
                      <m:sty m:val="p"/>
                    </m:rPr>
                    <a:rPr lang="en-US" sz="1100" b="0" i="0">
                      <a:latin typeface="Cambria Math" panose="02040503050406030204" pitchFamily="18" charset="0"/>
                    </a:rPr>
                    <m:t>Σ</m:t>
                  </m:r>
                </m:oMath>
              </a14:m>
              <a:r>
                <a:rPr lang="en-US" sz="1100"/>
                <a:t>=</a:t>
              </a:r>
            </a:p>
          </xdr:txBody>
        </xdr:sp>
      </mc:Choice>
      <mc:Fallback xmlns="">
        <xdr:sp macro="" textlink="">
          <xdr:nvSpPr>
            <xdr:cNvPr id="12" name="TextBox 11">
              <a:extLst>
                <a:ext uri="{FF2B5EF4-FFF2-40B4-BE49-F238E27FC236}">
                  <a16:creationId xmlns:a16="http://schemas.microsoft.com/office/drawing/2014/main" id="{303F9561-2A19-487A-9A84-B28358D5C83E}"/>
                </a:ext>
              </a:extLst>
            </xdr:cNvPr>
            <xdr:cNvSpPr txBox="1"/>
          </xdr:nvSpPr>
          <xdr:spPr>
            <a:xfrm>
              <a:off x="2628900" y="4338637"/>
              <a:ext cx="1047750" cy="3762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n-US" sz="1100" b="0" i="0">
                  <a:latin typeface="Cambria Math" panose="02040503050406030204" pitchFamily="18" charset="0"/>
                </a:rPr>
                <a:t>𝑆𝑢𝑚 𝑜𝑓 𝑎𝑙𝑙 </a:t>
              </a:r>
              <a:endParaRPr lang="en-US" sz="1100" b="0" i="1">
                <a:latin typeface="Cambria Math" panose="02040503050406030204" pitchFamily="18" charset="0"/>
              </a:endParaRPr>
            </a:p>
            <a:p>
              <a:r>
                <a:rPr lang="en-US" sz="1100" b="0" i="0">
                  <a:latin typeface="Cambria Math" panose="02040503050406030204" pitchFamily="18" charset="0"/>
                </a:rPr>
                <a:t>𝐼𝑛𝑡𝑒𝑟𝑣𝑎𝑙𝑠, Σ</a:t>
              </a:r>
              <a:r>
                <a:rPr lang="en-US" sz="1100"/>
                <a:t>=</a:t>
              </a:r>
            </a:p>
          </xdr:txBody>
        </xdr:sp>
      </mc:Fallback>
    </mc:AlternateContent>
    <xdr:clientData/>
  </xdr:oneCellAnchor>
  <xdr:oneCellAnchor>
    <xdr:from>
      <xdr:col>8</xdr:col>
      <xdr:colOff>123825</xdr:colOff>
      <xdr:row>20</xdr:row>
      <xdr:rowOff>157162</xdr:rowOff>
    </xdr:from>
    <xdr:ext cx="688971" cy="172227"/>
    <mc:AlternateContent xmlns:mc="http://schemas.openxmlformats.org/markup-compatibility/2006" xmlns:a14="http://schemas.microsoft.com/office/drawing/2010/main">
      <mc:Choice Requires="a14">
        <xdr:sp macro="" textlink="">
          <xdr:nvSpPr>
            <xdr:cNvPr id="13" name="TextBox 12">
              <a:extLst>
                <a:ext uri="{FF2B5EF4-FFF2-40B4-BE49-F238E27FC236}">
                  <a16:creationId xmlns:a16="http://schemas.microsoft.com/office/drawing/2014/main" id="{00000000-0008-0000-0700-00000D000000}"/>
                </a:ext>
              </a:extLst>
            </xdr:cNvPr>
            <xdr:cNvSpPr txBox="1"/>
          </xdr:nvSpPr>
          <xdr:spPr>
            <a:xfrm>
              <a:off x="1724025" y="4900612"/>
              <a:ext cx="68897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𝑓</m:t>
                    </m:r>
                    <m:r>
                      <a:rPr lang="en-US" sz="1100" b="0" i="1">
                        <a:latin typeface="Cambria Math" panose="02040503050406030204" pitchFamily="18" charset="0"/>
                      </a:rPr>
                      <m:t>(</m:t>
                    </m:r>
                    <m:r>
                      <a:rPr lang="en-US" sz="1100" b="0" i="1">
                        <a:latin typeface="Cambria Math" panose="02040503050406030204" pitchFamily="18" charset="0"/>
                      </a:rPr>
                      <m:t>𝑎</m:t>
                    </m:r>
                    <m:r>
                      <a:rPr lang="en-US" sz="1100" b="0" i="1">
                        <a:latin typeface="Cambria Math" panose="02040503050406030204" pitchFamily="18" charset="0"/>
                      </a:rPr>
                      <m:t>+</m:t>
                    </m:r>
                    <m:r>
                      <a:rPr lang="en-US" sz="1100" b="0" i="1">
                        <a:latin typeface="Cambria Math" panose="02040503050406030204" pitchFamily="18" charset="0"/>
                      </a:rPr>
                      <m:t>𝑖</m:t>
                    </m:r>
                    <m:r>
                      <m:rPr>
                        <m:sty m:val="p"/>
                      </m:rPr>
                      <a:rPr lang="en-US" sz="1100" b="0" i="0">
                        <a:latin typeface="Cambria Math" panose="02040503050406030204" pitchFamily="18" charset="0"/>
                      </a:rPr>
                      <m:t>Δ</m:t>
                    </m:r>
                    <m:r>
                      <a:rPr lang="en-US" sz="1100" b="0" i="1">
                        <a:latin typeface="Cambria Math" panose="02040503050406030204" pitchFamily="18" charset="0"/>
                      </a:rPr>
                      <m:t>𝑥</m:t>
                    </m:r>
                    <m:r>
                      <a:rPr lang="en-US" sz="1100" b="0" i="1">
                        <a:latin typeface="Cambria Math" panose="02040503050406030204" pitchFamily="18" charset="0"/>
                      </a:rPr>
                      <m:t>)</m:t>
                    </m:r>
                  </m:oMath>
                </m:oMathPara>
              </a14:m>
              <a:endParaRPr lang="en-US" sz="1100"/>
            </a:p>
          </xdr:txBody>
        </xdr:sp>
      </mc:Choice>
      <mc:Fallback xmlns="">
        <xdr:sp macro="" textlink="">
          <xdr:nvSpPr>
            <xdr:cNvPr id="13" name="TextBox 12">
              <a:extLst>
                <a:ext uri="{FF2B5EF4-FFF2-40B4-BE49-F238E27FC236}">
                  <a16:creationId xmlns:a16="http://schemas.microsoft.com/office/drawing/2014/main" id="{ADF9B6D4-0B2F-4EAF-B50F-74D5D3AD502D}"/>
                </a:ext>
              </a:extLst>
            </xdr:cNvPr>
            <xdr:cNvSpPr txBox="1"/>
          </xdr:nvSpPr>
          <xdr:spPr>
            <a:xfrm>
              <a:off x="1724025" y="4900612"/>
              <a:ext cx="68897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𝑓(𝑎+𝑖Δ𝑥)</a:t>
              </a:r>
              <a:endParaRPr lang="en-US" sz="1100"/>
            </a:p>
          </xdr:txBody>
        </xdr:sp>
      </mc:Fallback>
    </mc:AlternateContent>
    <xdr:clientData/>
  </xdr:oneCellAnchor>
  <xdr:oneCellAnchor>
    <xdr:from>
      <xdr:col>7</xdr:col>
      <xdr:colOff>114300</xdr:colOff>
      <xdr:row>20</xdr:row>
      <xdr:rowOff>147637</xdr:rowOff>
    </xdr:from>
    <xdr:ext cx="664990" cy="172227"/>
    <mc:AlternateContent xmlns:mc="http://schemas.openxmlformats.org/markup-compatibility/2006" xmlns:a14="http://schemas.microsoft.com/office/drawing/2010/main">
      <mc:Choice Requires="a14">
        <xdr:sp macro="" textlink="">
          <xdr:nvSpPr>
            <xdr:cNvPr id="14" name="TextBox 13">
              <a:extLst>
                <a:ext uri="{FF2B5EF4-FFF2-40B4-BE49-F238E27FC236}">
                  <a16:creationId xmlns:a16="http://schemas.microsoft.com/office/drawing/2014/main" id="{00000000-0008-0000-0700-00000E000000}"/>
                </a:ext>
              </a:extLst>
            </xdr:cNvPr>
            <xdr:cNvSpPr txBox="1"/>
          </xdr:nvSpPr>
          <xdr:spPr>
            <a:xfrm>
              <a:off x="723900" y="4891087"/>
              <a:ext cx="66499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𝐼𝑛𝑡𝑒𝑟𝑣𝑎𝑙</m:t>
                    </m:r>
                    <m:r>
                      <a:rPr lang="en-US" sz="1100" b="0" i="1">
                        <a:latin typeface="Cambria Math" panose="02040503050406030204" pitchFamily="18" charset="0"/>
                      </a:rPr>
                      <m:t>, </m:t>
                    </m:r>
                    <m:r>
                      <a:rPr lang="en-US" sz="1100" b="0" i="1">
                        <a:latin typeface="Cambria Math" panose="02040503050406030204" pitchFamily="18" charset="0"/>
                      </a:rPr>
                      <m:t>𝑖</m:t>
                    </m:r>
                  </m:oMath>
                </m:oMathPara>
              </a14:m>
              <a:endParaRPr lang="en-US" sz="1100"/>
            </a:p>
          </xdr:txBody>
        </xdr:sp>
      </mc:Choice>
      <mc:Fallback xmlns="">
        <xdr:sp macro="" textlink="">
          <xdr:nvSpPr>
            <xdr:cNvPr id="14" name="TextBox 13">
              <a:extLst>
                <a:ext uri="{FF2B5EF4-FFF2-40B4-BE49-F238E27FC236}">
                  <a16:creationId xmlns:a16="http://schemas.microsoft.com/office/drawing/2014/main" id="{B03A539C-3550-4FE6-B90A-2BDD577A66AB}"/>
                </a:ext>
              </a:extLst>
            </xdr:cNvPr>
            <xdr:cNvSpPr txBox="1"/>
          </xdr:nvSpPr>
          <xdr:spPr>
            <a:xfrm>
              <a:off x="723900" y="4891087"/>
              <a:ext cx="66499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𝐼𝑛𝑡𝑒𝑟𝑣𝑎𝑙, 𝑖</a:t>
              </a:r>
              <a:endParaRPr lang="en-US" sz="1100"/>
            </a:p>
          </xdr:txBody>
        </xdr:sp>
      </mc:Fallback>
    </mc:AlternateContent>
    <xdr:clientData/>
  </xdr:oneCellAnchor>
</xdr:wsDr>
</file>

<file path=xl/drawings/drawing8.xml><?xml version="1.0" encoding="utf-8"?>
<xdr:wsDr xmlns:xdr="http://schemas.openxmlformats.org/drawingml/2006/spreadsheetDrawing" xmlns:a="http://schemas.openxmlformats.org/drawingml/2006/main">
  <xdr:oneCellAnchor>
    <xdr:from>
      <xdr:col>1</xdr:col>
      <xdr:colOff>114300</xdr:colOff>
      <xdr:row>2</xdr:row>
      <xdr:rowOff>42862</xdr:rowOff>
    </xdr:from>
    <xdr:ext cx="1141146" cy="483915"/>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723900" y="423862"/>
              <a:ext cx="1141146" cy="483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nary>
                      <m:naryPr>
                        <m:ctrlPr>
                          <a:rPr lang="en-US" sz="1400" b="0" i="1">
                            <a:latin typeface="Cambria Math" panose="02040503050406030204" pitchFamily="18" charset="0"/>
                          </a:rPr>
                        </m:ctrlPr>
                      </m:naryPr>
                      <m:sub>
                        <m:r>
                          <m:rPr>
                            <m:brk m:alnAt="23"/>
                          </m:rPr>
                          <a:rPr lang="en-US" sz="1400" b="0" i="1">
                            <a:latin typeface="Cambria Math" panose="02040503050406030204" pitchFamily="18" charset="0"/>
                          </a:rPr>
                          <m:t>0</m:t>
                        </m:r>
                      </m:sub>
                      <m:sup>
                        <m:r>
                          <a:rPr lang="en-US" sz="1400" b="0" i="1">
                            <a:latin typeface="Cambria Math" panose="02040503050406030204" pitchFamily="18" charset="0"/>
                          </a:rPr>
                          <m:t>1</m:t>
                        </m:r>
                      </m:sup>
                      <m:e>
                        <m:rad>
                          <m:radPr>
                            <m:degHide m:val="on"/>
                            <m:ctrlPr>
                              <a:rPr lang="en-US" sz="1400" b="0" i="1">
                                <a:latin typeface="Cambria Math" panose="02040503050406030204" pitchFamily="18" charset="0"/>
                              </a:rPr>
                            </m:ctrlPr>
                          </m:radPr>
                          <m:deg/>
                          <m:e>
                            <m:r>
                              <a:rPr lang="en-US" sz="1400" b="0" i="1">
                                <a:latin typeface="Cambria Math" panose="02040503050406030204" pitchFamily="18" charset="0"/>
                              </a:rPr>
                              <m:t>1−</m:t>
                            </m:r>
                            <m:sSup>
                              <m:sSupPr>
                                <m:ctrlPr>
                                  <a:rPr lang="en-US" sz="1400" b="0" i="1">
                                    <a:latin typeface="Cambria Math" panose="02040503050406030204" pitchFamily="18" charset="0"/>
                                  </a:rPr>
                                </m:ctrlPr>
                              </m:sSupPr>
                              <m:e>
                                <m:r>
                                  <a:rPr lang="en-US" sz="1400" b="0" i="1">
                                    <a:latin typeface="Cambria Math" panose="02040503050406030204" pitchFamily="18" charset="0"/>
                                  </a:rPr>
                                  <m:t>𝑥</m:t>
                                </m:r>
                              </m:e>
                              <m:sup>
                                <m:r>
                                  <a:rPr lang="en-US" sz="1400" b="0" i="1">
                                    <a:latin typeface="Cambria Math" panose="02040503050406030204" pitchFamily="18" charset="0"/>
                                  </a:rPr>
                                  <m:t>2</m:t>
                                </m:r>
                              </m:sup>
                            </m:sSup>
                          </m:e>
                        </m:rad>
                        <m:r>
                          <a:rPr lang="en-US" sz="1400" b="0" i="1">
                            <a:latin typeface="Cambria Math" panose="02040503050406030204" pitchFamily="18" charset="0"/>
                          </a:rPr>
                          <m:t> </m:t>
                        </m:r>
                        <m:r>
                          <a:rPr lang="en-US" sz="1400" b="0" i="1">
                            <a:latin typeface="Cambria Math" panose="02040503050406030204" pitchFamily="18" charset="0"/>
                          </a:rPr>
                          <m:t>𝑑𝑥</m:t>
                        </m:r>
                      </m:e>
                    </m:nary>
                  </m:oMath>
                </m:oMathPara>
              </a14:m>
              <a:endParaRPr lang="en-US" sz="1400"/>
            </a:p>
          </xdr:txBody>
        </xdr:sp>
      </mc:Choice>
      <mc:Fallback xmlns="">
        <xdr:sp macro="" textlink="">
          <xdr:nvSpPr>
            <xdr:cNvPr id="2" name="TextBox 1">
              <a:extLst>
                <a:ext uri="{FF2B5EF4-FFF2-40B4-BE49-F238E27FC236}">
                  <a16:creationId xmlns:a16="http://schemas.microsoft.com/office/drawing/2014/main" id="{88C2C8FB-396A-432E-B403-248426699F13}"/>
                </a:ext>
              </a:extLst>
            </xdr:cNvPr>
            <xdr:cNvSpPr txBox="1"/>
          </xdr:nvSpPr>
          <xdr:spPr>
            <a:xfrm>
              <a:off x="723900" y="423862"/>
              <a:ext cx="1141146" cy="483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400" b="0" i="0">
                  <a:latin typeface="Cambria Math" panose="02040503050406030204" pitchFamily="18" charset="0"/>
                </a:rPr>
                <a:t>∫24_0^1▒〖√(1−𝑥^2 )  𝑑𝑥〗</a:t>
              </a:r>
              <a:endParaRPr lang="en-US" sz="1400"/>
            </a:p>
          </xdr:txBody>
        </xdr:sp>
      </mc:Fallback>
    </mc:AlternateContent>
    <xdr:clientData/>
  </xdr:oneCellAnchor>
  <xdr:twoCellAnchor>
    <xdr:from>
      <xdr:col>1</xdr:col>
      <xdr:colOff>209550</xdr:colOff>
      <xdr:row>7</xdr:row>
      <xdr:rowOff>38100</xdr:rowOff>
    </xdr:from>
    <xdr:to>
      <xdr:col>4</xdr:col>
      <xdr:colOff>962025</xdr:colOff>
      <xdr:row>7</xdr:row>
      <xdr:rowOff>466725</xdr:rowOff>
    </xdr:to>
    <xdr:pic>
      <xdr:nvPicPr>
        <xdr:cNvPr id="3" name="Picture 2">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819150" y="1371600"/>
          <a:ext cx="56673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1372333</xdr:colOff>
      <xdr:row>13</xdr:row>
      <xdr:rowOff>12089</xdr:rowOff>
    </xdr:from>
    <xdr:ext cx="339901" cy="172227"/>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1981933" y="2488589"/>
              <a:ext cx="33990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n-US" sz="1100" b="0" i="0">
                        <a:latin typeface="Cambria Math" panose="02040503050406030204" pitchFamily="18" charset="0"/>
                      </a:rPr>
                      <m:t>Δ</m:t>
                    </m:r>
                    <m:r>
                      <a:rPr lang="en-US" sz="1100" b="0" i="1">
                        <a:latin typeface="Cambria Math" panose="02040503050406030204" pitchFamily="18" charset="0"/>
                      </a:rPr>
                      <m:t>𝑥</m:t>
                    </m:r>
                    <m:r>
                      <a:rPr lang="en-US" sz="1100" b="0" i="1">
                        <a:latin typeface="Cambria Math" panose="02040503050406030204" pitchFamily="18" charset="0"/>
                      </a:rPr>
                      <m:t>=</m:t>
                    </m:r>
                  </m:oMath>
                </m:oMathPara>
              </a14:m>
              <a:endParaRPr lang="en-US" sz="1100"/>
            </a:p>
          </xdr:txBody>
        </xdr:sp>
      </mc:Choice>
      <mc:Fallback xmlns="">
        <xdr:sp macro="" textlink="">
          <xdr:nvSpPr>
            <xdr:cNvPr id="4" name="TextBox 3">
              <a:extLst>
                <a:ext uri="{FF2B5EF4-FFF2-40B4-BE49-F238E27FC236}">
                  <a16:creationId xmlns:a16="http://schemas.microsoft.com/office/drawing/2014/main" id="{3C52573E-38E0-4533-84DA-278BB094FC1D}"/>
                </a:ext>
              </a:extLst>
            </xdr:cNvPr>
            <xdr:cNvSpPr txBox="1"/>
          </xdr:nvSpPr>
          <xdr:spPr>
            <a:xfrm>
              <a:off x="1981933" y="2488589"/>
              <a:ext cx="33990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Δ𝑥=</a:t>
              </a:r>
              <a:endParaRPr lang="en-US" sz="1100"/>
            </a:p>
          </xdr:txBody>
        </xdr:sp>
      </mc:Fallback>
    </mc:AlternateContent>
    <xdr:clientData/>
  </xdr:oneCellAnchor>
  <xdr:oneCellAnchor>
    <xdr:from>
      <xdr:col>1</xdr:col>
      <xdr:colOff>104775</xdr:colOff>
      <xdr:row>16</xdr:row>
      <xdr:rowOff>52387</xdr:rowOff>
    </xdr:from>
    <xdr:ext cx="490199" cy="172227"/>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714375" y="2928937"/>
              <a:ext cx="49019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𝑎</m:t>
                    </m:r>
                    <m:r>
                      <a:rPr lang="en-US" sz="1100" b="0" i="1">
                        <a:latin typeface="Cambria Math" panose="02040503050406030204" pitchFamily="18" charset="0"/>
                      </a:rPr>
                      <m:t>+</m:t>
                    </m:r>
                    <m:r>
                      <a:rPr lang="en-US" sz="1100" b="0" i="1">
                        <a:latin typeface="Cambria Math" panose="02040503050406030204" pitchFamily="18" charset="0"/>
                      </a:rPr>
                      <m:t>𝑖</m:t>
                    </m:r>
                    <m:r>
                      <m:rPr>
                        <m:sty m:val="p"/>
                      </m:rPr>
                      <a:rPr lang="en-US" sz="1100" b="0" i="0">
                        <a:latin typeface="Cambria Math" panose="02040503050406030204" pitchFamily="18" charset="0"/>
                      </a:rPr>
                      <m:t>Δ</m:t>
                    </m:r>
                    <m:r>
                      <a:rPr lang="en-US" sz="1100" b="0" i="1">
                        <a:latin typeface="Cambria Math" panose="02040503050406030204" pitchFamily="18" charset="0"/>
                      </a:rPr>
                      <m:t>𝑥</m:t>
                    </m:r>
                  </m:oMath>
                </m:oMathPara>
              </a14:m>
              <a:endParaRPr lang="en-US" sz="1100"/>
            </a:p>
          </xdr:txBody>
        </xdr:sp>
      </mc:Choice>
      <mc:Fallback xmlns="">
        <xdr:sp macro="" textlink="">
          <xdr:nvSpPr>
            <xdr:cNvPr id="5" name="TextBox 4">
              <a:extLst>
                <a:ext uri="{FF2B5EF4-FFF2-40B4-BE49-F238E27FC236}">
                  <a16:creationId xmlns:a16="http://schemas.microsoft.com/office/drawing/2014/main" id="{35EC41CC-1A1F-47DE-AEC0-FC46339879DE}"/>
                </a:ext>
              </a:extLst>
            </xdr:cNvPr>
            <xdr:cNvSpPr txBox="1"/>
          </xdr:nvSpPr>
          <xdr:spPr>
            <a:xfrm>
              <a:off x="714375" y="2928937"/>
              <a:ext cx="49019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𝑎+𝑖Δ𝑥</a:t>
              </a:r>
              <a:endParaRPr lang="en-US" sz="1100"/>
            </a:p>
          </xdr:txBody>
        </xdr:sp>
      </mc:Fallback>
    </mc:AlternateContent>
    <xdr:clientData/>
  </xdr:oneCellAnchor>
  <xdr:oneCellAnchor>
    <xdr:from>
      <xdr:col>0</xdr:col>
      <xdr:colOff>266700</xdr:colOff>
      <xdr:row>16</xdr:row>
      <xdr:rowOff>14287</xdr:rowOff>
    </xdr:from>
    <xdr:ext cx="81048" cy="172227"/>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266700" y="2890837"/>
              <a:ext cx="8104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𝑖</m:t>
                    </m:r>
                  </m:oMath>
                </m:oMathPara>
              </a14:m>
              <a:endParaRPr lang="en-US" sz="1100"/>
            </a:p>
          </xdr:txBody>
        </xdr:sp>
      </mc:Choice>
      <mc:Fallback xmlns="">
        <xdr:sp macro="" textlink="">
          <xdr:nvSpPr>
            <xdr:cNvPr id="6" name="TextBox 5">
              <a:extLst>
                <a:ext uri="{FF2B5EF4-FFF2-40B4-BE49-F238E27FC236}">
                  <a16:creationId xmlns:a16="http://schemas.microsoft.com/office/drawing/2014/main" id="{8FB4A234-09CE-416B-8A07-49E9946D2CEC}"/>
                </a:ext>
              </a:extLst>
            </xdr:cNvPr>
            <xdr:cNvSpPr txBox="1"/>
          </xdr:nvSpPr>
          <xdr:spPr>
            <a:xfrm>
              <a:off x="266700" y="2890837"/>
              <a:ext cx="8104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spAutoFit/>
            </a:bodyPr>
            <a:lstStyle/>
            <a:p>
              <a:r>
                <a:rPr lang="en-US" sz="1100" b="0" i="0">
                  <a:latin typeface="Cambria Math" panose="02040503050406030204" pitchFamily="18" charset="0"/>
                </a:rPr>
                <a:t>𝑖</a:t>
              </a:r>
              <a:endParaRPr lang="en-US" sz="1100"/>
            </a:p>
          </xdr:txBody>
        </xdr:sp>
      </mc:Fallback>
    </mc:AlternateContent>
    <xdr:clientData/>
  </xdr:oneCellAnchor>
  <xdr:oneCellAnchor>
    <xdr:from>
      <xdr:col>1</xdr:col>
      <xdr:colOff>1352550</xdr:colOff>
      <xdr:row>14</xdr:row>
      <xdr:rowOff>133350</xdr:rowOff>
    </xdr:from>
    <xdr:ext cx="339901" cy="316882"/>
    <mc:AlternateContent xmlns:mc="http://schemas.openxmlformats.org/markup-compatibility/2006" xmlns:a14="http://schemas.microsoft.com/office/drawing/2010/main">
      <mc:Choice Requires="a14">
        <xdr:sp macro="" textlink="">
          <xdr:nvSpPr>
            <xdr:cNvPr id="34" name="TextBox 33">
              <a:extLst>
                <a:ext uri="{FF2B5EF4-FFF2-40B4-BE49-F238E27FC236}">
                  <a16:creationId xmlns:a16="http://schemas.microsoft.com/office/drawing/2014/main" id="{00000000-0008-0000-0800-000022000000}"/>
                </a:ext>
              </a:extLst>
            </xdr:cNvPr>
            <xdr:cNvSpPr txBox="1"/>
          </xdr:nvSpPr>
          <xdr:spPr>
            <a:xfrm>
              <a:off x="1962150" y="2819400"/>
              <a:ext cx="339901" cy="3168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1100" b="0" i="1">
                            <a:latin typeface="Cambria Math" panose="02040503050406030204" pitchFamily="18" charset="0"/>
                          </a:rPr>
                        </m:ctrlPr>
                      </m:fPr>
                      <m:num>
                        <m:r>
                          <m:rPr>
                            <m:sty m:val="p"/>
                          </m:rPr>
                          <a:rPr lang="en-US" sz="1100" b="0" i="0">
                            <a:latin typeface="Cambria Math" panose="02040503050406030204" pitchFamily="18" charset="0"/>
                          </a:rPr>
                          <m:t>Δ</m:t>
                        </m:r>
                        <m:r>
                          <a:rPr lang="en-US" sz="1100" b="0" i="1">
                            <a:latin typeface="Cambria Math" panose="02040503050406030204" pitchFamily="18" charset="0"/>
                          </a:rPr>
                          <m:t>𝑥</m:t>
                        </m:r>
                      </m:num>
                      <m:den>
                        <m:r>
                          <a:rPr lang="en-US" sz="1100" b="0" i="1">
                            <a:latin typeface="Cambria Math" panose="02040503050406030204" pitchFamily="18" charset="0"/>
                          </a:rPr>
                          <m:t>2</m:t>
                        </m:r>
                      </m:den>
                    </m:f>
                    <m:r>
                      <a:rPr lang="en-US" sz="1100" b="0" i="1">
                        <a:latin typeface="Cambria Math" panose="02040503050406030204" pitchFamily="18" charset="0"/>
                      </a:rPr>
                      <m:t>=</m:t>
                    </m:r>
                  </m:oMath>
                </m:oMathPara>
              </a14:m>
              <a:endParaRPr lang="en-US" sz="1100"/>
            </a:p>
          </xdr:txBody>
        </xdr:sp>
      </mc:Choice>
      <mc:Fallback xmlns="">
        <xdr:sp macro="" textlink="">
          <xdr:nvSpPr>
            <xdr:cNvPr id="34" name="TextBox 33">
              <a:extLst>
                <a:ext uri="{FF2B5EF4-FFF2-40B4-BE49-F238E27FC236}">
                  <a16:creationId xmlns:a16="http://schemas.microsoft.com/office/drawing/2014/main" id="{2B25525A-5085-4E5A-AB73-BD213BCF9F80}"/>
                </a:ext>
              </a:extLst>
            </xdr:cNvPr>
            <xdr:cNvSpPr txBox="1"/>
          </xdr:nvSpPr>
          <xdr:spPr>
            <a:xfrm>
              <a:off x="1962150" y="2819400"/>
              <a:ext cx="339901" cy="3168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Δ𝑥/2=</a:t>
              </a:r>
              <a:endParaRPr lang="en-US" sz="1100"/>
            </a:p>
          </xdr:txBody>
        </xdr:sp>
      </mc:Fallback>
    </mc:AlternateContent>
    <xdr:clientData/>
  </xdr:oneCellAnchor>
  <xdr:oneCellAnchor>
    <xdr:from>
      <xdr:col>2</xdr:col>
      <xdr:colOff>123825</xdr:colOff>
      <xdr:row>16</xdr:row>
      <xdr:rowOff>42862</xdr:rowOff>
    </xdr:from>
    <xdr:ext cx="688971" cy="172227"/>
    <mc:AlternateContent xmlns:mc="http://schemas.openxmlformats.org/markup-compatibility/2006" xmlns:a14="http://schemas.microsoft.com/office/drawing/2010/main">
      <mc:Choice Requires="a14">
        <xdr:sp macro="" textlink="">
          <xdr:nvSpPr>
            <xdr:cNvPr id="35" name="TextBox 34">
              <a:extLst>
                <a:ext uri="{FF2B5EF4-FFF2-40B4-BE49-F238E27FC236}">
                  <a16:creationId xmlns:a16="http://schemas.microsoft.com/office/drawing/2014/main" id="{00000000-0008-0000-0800-000023000000}"/>
                </a:ext>
              </a:extLst>
            </xdr:cNvPr>
            <xdr:cNvSpPr txBox="1"/>
          </xdr:nvSpPr>
          <xdr:spPr>
            <a:xfrm>
              <a:off x="1600200" y="3443287"/>
              <a:ext cx="68897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𝑓</m:t>
                    </m:r>
                    <m:r>
                      <a:rPr lang="en-US" sz="1100" b="0" i="1">
                        <a:latin typeface="Cambria Math" panose="02040503050406030204" pitchFamily="18" charset="0"/>
                      </a:rPr>
                      <m:t>(</m:t>
                    </m:r>
                    <m:r>
                      <a:rPr lang="en-US" sz="1100" b="0" i="1">
                        <a:latin typeface="Cambria Math" panose="02040503050406030204" pitchFamily="18" charset="0"/>
                      </a:rPr>
                      <m:t>𝑎</m:t>
                    </m:r>
                    <m:r>
                      <a:rPr lang="en-US" sz="1100" b="0" i="1">
                        <a:latin typeface="Cambria Math" panose="02040503050406030204" pitchFamily="18" charset="0"/>
                      </a:rPr>
                      <m:t>+</m:t>
                    </m:r>
                    <m:r>
                      <a:rPr lang="en-US" sz="1100" b="0" i="1">
                        <a:latin typeface="Cambria Math" panose="02040503050406030204" pitchFamily="18" charset="0"/>
                      </a:rPr>
                      <m:t>𝑖</m:t>
                    </m:r>
                    <m:r>
                      <m:rPr>
                        <m:sty m:val="p"/>
                      </m:rPr>
                      <a:rPr lang="en-US" sz="1100" b="0" i="0">
                        <a:latin typeface="Cambria Math" panose="02040503050406030204" pitchFamily="18" charset="0"/>
                      </a:rPr>
                      <m:t>Δ</m:t>
                    </m:r>
                    <m:r>
                      <a:rPr lang="en-US" sz="1100" b="0" i="1">
                        <a:latin typeface="Cambria Math" panose="02040503050406030204" pitchFamily="18" charset="0"/>
                      </a:rPr>
                      <m:t>𝑥</m:t>
                    </m:r>
                    <m:r>
                      <a:rPr lang="en-US" sz="1100" b="0" i="1">
                        <a:latin typeface="Cambria Math" panose="02040503050406030204" pitchFamily="18" charset="0"/>
                      </a:rPr>
                      <m:t>)</m:t>
                    </m:r>
                  </m:oMath>
                </m:oMathPara>
              </a14:m>
              <a:endParaRPr lang="en-US" sz="1100"/>
            </a:p>
          </xdr:txBody>
        </xdr:sp>
      </mc:Choice>
      <mc:Fallback xmlns="">
        <xdr:sp macro="" textlink="">
          <xdr:nvSpPr>
            <xdr:cNvPr id="35" name="TextBox 34">
              <a:extLst>
                <a:ext uri="{FF2B5EF4-FFF2-40B4-BE49-F238E27FC236}">
                  <a16:creationId xmlns:a16="http://schemas.microsoft.com/office/drawing/2014/main" id="{C7C5B883-F046-41CE-9695-1E9CAAA68834}"/>
                </a:ext>
              </a:extLst>
            </xdr:cNvPr>
            <xdr:cNvSpPr txBox="1"/>
          </xdr:nvSpPr>
          <xdr:spPr>
            <a:xfrm>
              <a:off x="1600200" y="3443287"/>
              <a:ext cx="68897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𝑓(𝑎+𝑖Δ𝑥)</a:t>
              </a:r>
              <a:endParaRPr lang="en-US" sz="1100"/>
            </a:p>
          </xdr:txBody>
        </xdr:sp>
      </mc:Fallback>
    </mc:AlternateContent>
    <xdr:clientData/>
  </xdr:oneCellAnchor>
  <xdr:oneCellAnchor>
    <xdr:from>
      <xdr:col>4</xdr:col>
      <xdr:colOff>66675</xdr:colOff>
      <xdr:row>16</xdr:row>
      <xdr:rowOff>28575</xdr:rowOff>
    </xdr:from>
    <xdr:ext cx="1213537" cy="172227"/>
    <mc:AlternateContent xmlns:mc="http://schemas.openxmlformats.org/markup-compatibility/2006" xmlns:a14="http://schemas.microsoft.com/office/drawing/2010/main">
      <mc:Choice Requires="a14">
        <xdr:sp macro="" textlink="">
          <xdr:nvSpPr>
            <xdr:cNvPr id="36" name="TextBox 35">
              <a:extLst>
                <a:ext uri="{FF2B5EF4-FFF2-40B4-BE49-F238E27FC236}">
                  <a16:creationId xmlns:a16="http://schemas.microsoft.com/office/drawing/2014/main" id="{00000000-0008-0000-0800-000024000000}"/>
                </a:ext>
              </a:extLst>
            </xdr:cNvPr>
            <xdr:cNvSpPr txBox="1"/>
          </xdr:nvSpPr>
          <xdr:spPr>
            <a:xfrm>
              <a:off x="5095875" y="3429000"/>
              <a:ext cx="121353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𝑓𝑎𝑐𝑡𝑜𝑟</m:t>
                    </m:r>
                    <m:r>
                      <a:rPr lang="en-US" sz="1100" b="0" i="1">
                        <a:latin typeface="Cambria Math" panose="02040503050406030204" pitchFamily="18" charset="0"/>
                      </a:rPr>
                      <m:t>⋅</m:t>
                    </m:r>
                    <m:r>
                      <a:rPr lang="en-US" sz="1100" b="0" i="1">
                        <a:latin typeface="Cambria Math" panose="02040503050406030204" pitchFamily="18" charset="0"/>
                      </a:rPr>
                      <m:t>𝑓</m:t>
                    </m:r>
                    <m:r>
                      <a:rPr lang="en-US" sz="1100" b="0" i="1">
                        <a:latin typeface="Cambria Math" panose="02040503050406030204" pitchFamily="18" charset="0"/>
                      </a:rPr>
                      <m:t>(</m:t>
                    </m:r>
                    <m:r>
                      <a:rPr lang="en-US" sz="1100" b="0" i="1">
                        <a:latin typeface="Cambria Math" panose="02040503050406030204" pitchFamily="18" charset="0"/>
                      </a:rPr>
                      <m:t>𝑎</m:t>
                    </m:r>
                    <m:r>
                      <a:rPr lang="en-US" sz="1100" b="0" i="1">
                        <a:latin typeface="Cambria Math" panose="02040503050406030204" pitchFamily="18" charset="0"/>
                      </a:rPr>
                      <m:t>+</m:t>
                    </m:r>
                    <m:r>
                      <a:rPr lang="en-US" sz="1100" b="0" i="1">
                        <a:latin typeface="Cambria Math" panose="02040503050406030204" pitchFamily="18" charset="0"/>
                      </a:rPr>
                      <m:t>𝑖</m:t>
                    </m:r>
                    <m:r>
                      <m:rPr>
                        <m:sty m:val="p"/>
                      </m:rPr>
                      <a:rPr lang="en-US" sz="1100" b="0" i="0">
                        <a:latin typeface="Cambria Math" panose="02040503050406030204" pitchFamily="18" charset="0"/>
                      </a:rPr>
                      <m:t>Δ</m:t>
                    </m:r>
                    <m:r>
                      <a:rPr lang="en-US" sz="1100" b="0" i="1">
                        <a:latin typeface="Cambria Math" panose="02040503050406030204" pitchFamily="18" charset="0"/>
                      </a:rPr>
                      <m:t>𝑥</m:t>
                    </m:r>
                    <m:r>
                      <a:rPr lang="en-US" sz="1100" b="0" i="1">
                        <a:latin typeface="Cambria Math" panose="02040503050406030204" pitchFamily="18" charset="0"/>
                      </a:rPr>
                      <m:t>)</m:t>
                    </m:r>
                  </m:oMath>
                </m:oMathPara>
              </a14:m>
              <a:endParaRPr lang="en-US" sz="1100"/>
            </a:p>
          </xdr:txBody>
        </xdr:sp>
      </mc:Choice>
      <mc:Fallback xmlns="">
        <xdr:sp macro="" textlink="">
          <xdr:nvSpPr>
            <xdr:cNvPr id="36" name="TextBox 35">
              <a:extLst>
                <a:ext uri="{FF2B5EF4-FFF2-40B4-BE49-F238E27FC236}">
                  <a16:creationId xmlns:a16="http://schemas.microsoft.com/office/drawing/2014/main" id="{3D1D7606-D8E7-407A-8E0B-52E10C7FB242}"/>
                </a:ext>
              </a:extLst>
            </xdr:cNvPr>
            <xdr:cNvSpPr txBox="1"/>
          </xdr:nvSpPr>
          <xdr:spPr>
            <a:xfrm>
              <a:off x="5095875" y="3429000"/>
              <a:ext cx="121353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𝑓𝑎𝑐𝑡𝑜𝑟⋅𝑓(𝑎+𝑖Δ𝑥)</a:t>
              </a:r>
              <a:endParaRPr lang="en-US" sz="1100"/>
            </a:p>
          </xdr:txBody>
        </xdr:sp>
      </mc:Fallback>
    </mc:AlternateContent>
    <xdr:clientData/>
  </xdr:oneCellAnchor>
  <xdr:oneCellAnchor>
    <xdr:from>
      <xdr:col>3</xdr:col>
      <xdr:colOff>85725</xdr:colOff>
      <xdr:row>32</xdr:row>
      <xdr:rowOff>19050</xdr:rowOff>
    </xdr:from>
    <xdr:ext cx="1782476" cy="172227"/>
    <mc:AlternateContent xmlns:mc="http://schemas.openxmlformats.org/markup-compatibility/2006" xmlns:a14="http://schemas.microsoft.com/office/drawing/2010/main">
      <mc:Choice Requires="a14">
        <xdr:sp macro="" textlink="">
          <xdr:nvSpPr>
            <xdr:cNvPr id="37" name="TextBox 36">
              <a:extLst>
                <a:ext uri="{FF2B5EF4-FFF2-40B4-BE49-F238E27FC236}">
                  <a16:creationId xmlns:a16="http://schemas.microsoft.com/office/drawing/2014/main" id="{00000000-0008-0000-0800-000025000000}"/>
                </a:ext>
              </a:extLst>
            </xdr:cNvPr>
            <xdr:cNvSpPr txBox="1"/>
          </xdr:nvSpPr>
          <xdr:spPr>
            <a:xfrm>
              <a:off x="3286125" y="6524625"/>
              <a:ext cx="178247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𝑆𝑢𝑚</m:t>
                    </m:r>
                    <m:r>
                      <a:rPr lang="en-US" sz="1100" b="0" i="1">
                        <a:latin typeface="Cambria Math" panose="02040503050406030204" pitchFamily="18" charset="0"/>
                      </a:rPr>
                      <m:t> (</m:t>
                    </m:r>
                    <m:r>
                      <a:rPr lang="en-US" sz="1100" b="0" i="1">
                        <a:latin typeface="Cambria Math" panose="02040503050406030204" pitchFamily="18" charset="0"/>
                      </a:rPr>
                      <m:t>𝑓𝑎𝑐𝑡𝑜𝑟</m:t>
                    </m:r>
                    <m:r>
                      <a:rPr lang="en-US" sz="1100" b="0" i="1">
                        <a:latin typeface="Cambria Math" panose="02040503050406030204" pitchFamily="18" charset="0"/>
                      </a:rPr>
                      <m:t>⋅</m:t>
                    </m:r>
                    <m:r>
                      <a:rPr lang="en-US" sz="1100" b="0" i="1">
                        <a:latin typeface="Cambria Math" panose="02040503050406030204" pitchFamily="18" charset="0"/>
                      </a:rPr>
                      <m:t>𝑓</m:t>
                    </m:r>
                    <m:d>
                      <m:dPr>
                        <m:ctrlPr>
                          <a:rPr lang="en-US" sz="1100" b="0" i="1">
                            <a:latin typeface="Cambria Math" panose="02040503050406030204" pitchFamily="18" charset="0"/>
                          </a:rPr>
                        </m:ctrlPr>
                      </m:dPr>
                      <m:e>
                        <m:r>
                          <a:rPr lang="en-US" sz="1100" b="0" i="1">
                            <a:latin typeface="Cambria Math" panose="02040503050406030204" pitchFamily="18" charset="0"/>
                          </a:rPr>
                          <m:t>𝑎</m:t>
                        </m:r>
                        <m:r>
                          <a:rPr lang="en-US" sz="1100" b="0" i="1">
                            <a:latin typeface="Cambria Math" panose="02040503050406030204" pitchFamily="18" charset="0"/>
                          </a:rPr>
                          <m:t>+</m:t>
                        </m:r>
                        <m:r>
                          <a:rPr lang="en-US" sz="1100" b="0" i="1">
                            <a:latin typeface="Cambria Math" panose="02040503050406030204" pitchFamily="18" charset="0"/>
                          </a:rPr>
                          <m:t>𝑖</m:t>
                        </m:r>
                        <m:r>
                          <m:rPr>
                            <m:sty m:val="p"/>
                          </m:rPr>
                          <a:rPr lang="en-US" sz="1100" b="0" i="0">
                            <a:latin typeface="Cambria Math" panose="02040503050406030204" pitchFamily="18" charset="0"/>
                          </a:rPr>
                          <m:t>Δ</m:t>
                        </m:r>
                        <m:r>
                          <a:rPr lang="en-US" sz="1100" b="0" i="1">
                            <a:latin typeface="Cambria Math" panose="02040503050406030204" pitchFamily="18" charset="0"/>
                          </a:rPr>
                          <m:t>𝑥</m:t>
                        </m:r>
                      </m:e>
                    </m:d>
                    <m:r>
                      <a:rPr lang="en-US" sz="1100" b="0" i="1">
                        <a:latin typeface="Cambria Math" panose="02040503050406030204" pitchFamily="18" charset="0"/>
                      </a:rPr>
                      <m:t>)=</m:t>
                    </m:r>
                  </m:oMath>
                </m:oMathPara>
              </a14:m>
              <a:endParaRPr lang="en-US" sz="1100"/>
            </a:p>
          </xdr:txBody>
        </xdr:sp>
      </mc:Choice>
      <mc:Fallback xmlns="">
        <xdr:sp macro="" textlink="">
          <xdr:nvSpPr>
            <xdr:cNvPr id="37" name="TextBox 36">
              <a:extLst>
                <a:ext uri="{FF2B5EF4-FFF2-40B4-BE49-F238E27FC236}">
                  <a16:creationId xmlns:a16="http://schemas.microsoft.com/office/drawing/2014/main" id="{16F1D0A6-93D5-455F-BBA9-C250E68FA8AA}"/>
                </a:ext>
              </a:extLst>
            </xdr:cNvPr>
            <xdr:cNvSpPr txBox="1"/>
          </xdr:nvSpPr>
          <xdr:spPr>
            <a:xfrm>
              <a:off x="3286125" y="6524625"/>
              <a:ext cx="178247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𝑆𝑢𝑚 (𝑓𝑎𝑐𝑡𝑜𝑟⋅𝑓(𝑎+𝑖Δ𝑥))=</a:t>
              </a:r>
              <a:endParaRPr lang="en-US" sz="1100"/>
            </a:p>
          </xdr:txBody>
        </xdr:sp>
      </mc:Fallback>
    </mc:AlternateContent>
    <xdr:clientData/>
  </xdr:oneCellAnchor>
  <xdr:oneCellAnchor>
    <xdr:from>
      <xdr:col>5</xdr:col>
      <xdr:colOff>66675</xdr:colOff>
      <xdr:row>16</xdr:row>
      <xdr:rowOff>52387</xdr:rowOff>
    </xdr:from>
    <xdr:ext cx="1882438" cy="316882"/>
    <mc:AlternateContent xmlns:mc="http://schemas.openxmlformats.org/markup-compatibility/2006" xmlns:a14="http://schemas.microsoft.com/office/drawing/2010/main">
      <mc:Choice Requires="a14">
        <xdr:sp macro="" textlink="">
          <xdr:nvSpPr>
            <xdr:cNvPr id="38" name="TextBox 37">
              <a:extLst>
                <a:ext uri="{FF2B5EF4-FFF2-40B4-BE49-F238E27FC236}">
                  <a16:creationId xmlns:a16="http://schemas.microsoft.com/office/drawing/2014/main" id="{00000000-0008-0000-0800-000026000000}"/>
                </a:ext>
              </a:extLst>
            </xdr:cNvPr>
            <xdr:cNvSpPr txBox="1"/>
          </xdr:nvSpPr>
          <xdr:spPr>
            <a:xfrm>
              <a:off x="6467475" y="3452812"/>
              <a:ext cx="1882438" cy="3168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𝑆𝑢𝑚</m:t>
                    </m:r>
                    <m:d>
                      <m:dPr>
                        <m:ctrlPr>
                          <a:rPr lang="en-US" sz="1100" b="0" i="1">
                            <a:latin typeface="Cambria Math" panose="02040503050406030204" pitchFamily="18" charset="0"/>
                          </a:rPr>
                        </m:ctrlPr>
                      </m:dPr>
                      <m:e>
                        <m:r>
                          <a:rPr lang="en-US" sz="1100" b="0" i="1">
                            <a:latin typeface="Cambria Math" panose="02040503050406030204" pitchFamily="18" charset="0"/>
                          </a:rPr>
                          <m:t>𝑓𝑎𝑐𝑡𝑜𝑟</m:t>
                        </m:r>
                        <m:r>
                          <a:rPr lang="en-US" sz="1100" b="0" i="1">
                            <a:latin typeface="Cambria Math" panose="02040503050406030204" pitchFamily="18" charset="0"/>
                          </a:rPr>
                          <m:t>⋅</m:t>
                        </m:r>
                        <m:r>
                          <a:rPr lang="en-US" sz="1100" b="0" i="1">
                            <a:latin typeface="Cambria Math" panose="02040503050406030204" pitchFamily="18" charset="0"/>
                          </a:rPr>
                          <m:t>𝑓</m:t>
                        </m:r>
                        <m:d>
                          <m:dPr>
                            <m:ctrlPr>
                              <a:rPr lang="en-US" sz="1100" b="0" i="1">
                                <a:latin typeface="Cambria Math" panose="02040503050406030204" pitchFamily="18" charset="0"/>
                              </a:rPr>
                            </m:ctrlPr>
                          </m:dPr>
                          <m:e>
                            <m:r>
                              <a:rPr lang="en-US" sz="1100" b="0" i="1">
                                <a:latin typeface="Cambria Math" panose="02040503050406030204" pitchFamily="18" charset="0"/>
                              </a:rPr>
                              <m:t>𝑎</m:t>
                            </m:r>
                            <m:r>
                              <a:rPr lang="en-US" sz="1100" b="0" i="1">
                                <a:latin typeface="Cambria Math" panose="02040503050406030204" pitchFamily="18" charset="0"/>
                              </a:rPr>
                              <m:t>+</m:t>
                            </m:r>
                            <m:r>
                              <a:rPr lang="en-US" sz="1100" b="0" i="1">
                                <a:latin typeface="Cambria Math" panose="02040503050406030204" pitchFamily="18" charset="0"/>
                              </a:rPr>
                              <m:t>𝑖</m:t>
                            </m:r>
                            <m:r>
                              <m:rPr>
                                <m:sty m:val="p"/>
                              </m:rPr>
                              <a:rPr lang="en-US" sz="1100" b="0" i="0">
                                <a:latin typeface="Cambria Math" panose="02040503050406030204" pitchFamily="18" charset="0"/>
                              </a:rPr>
                              <m:t>Δ</m:t>
                            </m:r>
                            <m:r>
                              <a:rPr lang="en-US" sz="1100" b="0" i="1">
                                <a:latin typeface="Cambria Math" panose="02040503050406030204" pitchFamily="18" charset="0"/>
                              </a:rPr>
                              <m:t>𝑥</m:t>
                            </m:r>
                          </m:e>
                        </m:d>
                      </m:e>
                    </m:d>
                    <m:r>
                      <a:rPr lang="en-US" sz="1100" b="0" i="1">
                        <a:latin typeface="Cambria Math" panose="02040503050406030204" pitchFamily="18" charset="0"/>
                      </a:rPr>
                      <m:t>⋅</m:t>
                    </m:r>
                    <m:f>
                      <m:fPr>
                        <m:ctrlPr>
                          <a:rPr lang="en-US" sz="1100" b="0" i="1">
                            <a:latin typeface="Cambria Math" panose="02040503050406030204" pitchFamily="18" charset="0"/>
                          </a:rPr>
                        </m:ctrlPr>
                      </m:fPr>
                      <m:num>
                        <m:r>
                          <m:rPr>
                            <m:sty m:val="p"/>
                          </m:rPr>
                          <a:rPr lang="en-US" sz="1100" b="0" i="0">
                            <a:latin typeface="Cambria Math" panose="02040503050406030204" pitchFamily="18" charset="0"/>
                          </a:rPr>
                          <m:t>Δ</m:t>
                        </m:r>
                        <m:r>
                          <a:rPr lang="en-US" sz="1100" b="0" i="1">
                            <a:latin typeface="Cambria Math" panose="02040503050406030204" pitchFamily="18" charset="0"/>
                          </a:rPr>
                          <m:t>𝑥</m:t>
                        </m:r>
                      </m:num>
                      <m:den>
                        <m:r>
                          <a:rPr lang="en-US" sz="1100" b="0" i="1">
                            <a:latin typeface="Cambria Math" panose="02040503050406030204" pitchFamily="18" charset="0"/>
                          </a:rPr>
                          <m:t>2</m:t>
                        </m:r>
                      </m:den>
                    </m:f>
                  </m:oMath>
                </m:oMathPara>
              </a14:m>
              <a:endParaRPr lang="en-US" sz="1100"/>
            </a:p>
          </xdr:txBody>
        </xdr:sp>
      </mc:Choice>
      <mc:Fallback xmlns="">
        <xdr:sp macro="" textlink="">
          <xdr:nvSpPr>
            <xdr:cNvPr id="38" name="TextBox 37">
              <a:extLst>
                <a:ext uri="{FF2B5EF4-FFF2-40B4-BE49-F238E27FC236}">
                  <a16:creationId xmlns:a16="http://schemas.microsoft.com/office/drawing/2014/main" id="{29F1B7CF-C906-4A73-9135-2E70CB3051BF}"/>
                </a:ext>
              </a:extLst>
            </xdr:cNvPr>
            <xdr:cNvSpPr txBox="1"/>
          </xdr:nvSpPr>
          <xdr:spPr>
            <a:xfrm>
              <a:off x="6467475" y="3452812"/>
              <a:ext cx="1882438" cy="3168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𝑆𝑢𝑚(𝑓𝑎𝑐𝑡𝑜𝑟⋅𝑓(𝑎+𝑖Δ𝑥))⋅Δ𝑥/2</a:t>
              </a:r>
              <a:endParaRPr lang="en-US" sz="1100"/>
            </a:p>
          </xdr:txBody>
        </xdr:sp>
      </mc:Fallback>
    </mc:AlternateContent>
    <xdr:clientData/>
  </xdr:oneCellAnchor>
</xdr:wsDr>
</file>

<file path=xl/drawings/drawing9.xml><?xml version="1.0" encoding="utf-8"?>
<xdr:wsDr xmlns:xdr="http://schemas.openxmlformats.org/drawingml/2006/spreadsheetDrawing" xmlns:a="http://schemas.openxmlformats.org/drawingml/2006/main">
  <xdr:oneCellAnchor>
    <xdr:from>
      <xdr:col>1</xdr:col>
      <xdr:colOff>114300</xdr:colOff>
      <xdr:row>2</xdr:row>
      <xdr:rowOff>42862</xdr:rowOff>
    </xdr:from>
    <xdr:ext cx="1141146" cy="483915"/>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723900" y="423862"/>
              <a:ext cx="1141146" cy="483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nary>
                      <m:naryPr>
                        <m:ctrlPr>
                          <a:rPr lang="en-US" sz="1400" b="0" i="1">
                            <a:latin typeface="Cambria Math" panose="02040503050406030204" pitchFamily="18" charset="0"/>
                          </a:rPr>
                        </m:ctrlPr>
                      </m:naryPr>
                      <m:sub>
                        <m:r>
                          <m:rPr>
                            <m:brk m:alnAt="23"/>
                          </m:rPr>
                          <a:rPr lang="en-US" sz="1400" b="0" i="1">
                            <a:latin typeface="Cambria Math" panose="02040503050406030204" pitchFamily="18" charset="0"/>
                          </a:rPr>
                          <m:t>0</m:t>
                        </m:r>
                      </m:sub>
                      <m:sup>
                        <m:r>
                          <a:rPr lang="en-US" sz="1400" b="0" i="1">
                            <a:latin typeface="Cambria Math" panose="02040503050406030204" pitchFamily="18" charset="0"/>
                          </a:rPr>
                          <m:t>1</m:t>
                        </m:r>
                      </m:sup>
                      <m:e>
                        <m:rad>
                          <m:radPr>
                            <m:degHide m:val="on"/>
                            <m:ctrlPr>
                              <a:rPr lang="en-US" sz="1400" b="0" i="1">
                                <a:latin typeface="Cambria Math" panose="02040503050406030204" pitchFamily="18" charset="0"/>
                              </a:rPr>
                            </m:ctrlPr>
                          </m:radPr>
                          <m:deg/>
                          <m:e>
                            <m:r>
                              <a:rPr lang="en-US" sz="1400" b="0" i="1">
                                <a:latin typeface="Cambria Math" panose="02040503050406030204" pitchFamily="18" charset="0"/>
                              </a:rPr>
                              <m:t>1−</m:t>
                            </m:r>
                            <m:sSup>
                              <m:sSupPr>
                                <m:ctrlPr>
                                  <a:rPr lang="en-US" sz="1400" b="0" i="1">
                                    <a:latin typeface="Cambria Math" panose="02040503050406030204" pitchFamily="18" charset="0"/>
                                  </a:rPr>
                                </m:ctrlPr>
                              </m:sSupPr>
                              <m:e>
                                <m:r>
                                  <a:rPr lang="en-US" sz="1400" b="0" i="1">
                                    <a:latin typeface="Cambria Math" panose="02040503050406030204" pitchFamily="18" charset="0"/>
                                  </a:rPr>
                                  <m:t>𝑥</m:t>
                                </m:r>
                              </m:e>
                              <m:sup>
                                <m:r>
                                  <a:rPr lang="en-US" sz="1400" b="0" i="1">
                                    <a:latin typeface="Cambria Math" panose="02040503050406030204" pitchFamily="18" charset="0"/>
                                  </a:rPr>
                                  <m:t>2</m:t>
                                </m:r>
                              </m:sup>
                            </m:sSup>
                          </m:e>
                        </m:rad>
                        <m:r>
                          <a:rPr lang="en-US" sz="1400" b="0" i="1">
                            <a:latin typeface="Cambria Math" panose="02040503050406030204" pitchFamily="18" charset="0"/>
                          </a:rPr>
                          <m:t> </m:t>
                        </m:r>
                        <m:r>
                          <a:rPr lang="en-US" sz="1400" b="0" i="1">
                            <a:latin typeface="Cambria Math" panose="02040503050406030204" pitchFamily="18" charset="0"/>
                          </a:rPr>
                          <m:t>𝑑𝑥</m:t>
                        </m:r>
                      </m:e>
                    </m:nary>
                  </m:oMath>
                </m:oMathPara>
              </a14:m>
              <a:endParaRPr lang="en-US" sz="1400"/>
            </a:p>
          </xdr:txBody>
        </xdr:sp>
      </mc:Choice>
      <mc:Fallback xmlns="">
        <xdr:sp macro="" textlink="">
          <xdr:nvSpPr>
            <xdr:cNvPr id="2" name="TextBox 1">
              <a:extLst>
                <a:ext uri="{FF2B5EF4-FFF2-40B4-BE49-F238E27FC236}">
                  <a16:creationId xmlns:a16="http://schemas.microsoft.com/office/drawing/2014/main" id="{821CB509-1897-49BA-A595-AA98A6BFDEE3}"/>
                </a:ext>
              </a:extLst>
            </xdr:cNvPr>
            <xdr:cNvSpPr txBox="1"/>
          </xdr:nvSpPr>
          <xdr:spPr>
            <a:xfrm>
              <a:off x="723900" y="423862"/>
              <a:ext cx="1141146" cy="483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400" b="0" i="0">
                  <a:latin typeface="Cambria Math" panose="02040503050406030204" pitchFamily="18" charset="0"/>
                </a:rPr>
                <a:t>∫24_0^1▒〖√(1−𝑥^2 )  𝑑𝑥〗</a:t>
              </a:r>
              <a:endParaRPr lang="en-US" sz="1400"/>
            </a:p>
          </xdr:txBody>
        </xdr:sp>
      </mc:Fallback>
    </mc:AlternateContent>
    <xdr:clientData/>
  </xdr:oneCellAnchor>
  <xdr:oneCellAnchor>
    <xdr:from>
      <xdr:col>1</xdr:col>
      <xdr:colOff>1372333</xdr:colOff>
      <xdr:row>13</xdr:row>
      <xdr:rowOff>12089</xdr:rowOff>
    </xdr:from>
    <xdr:ext cx="339901" cy="172227"/>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1981933" y="2488589"/>
              <a:ext cx="33990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n-US" sz="1100" b="0" i="0">
                        <a:latin typeface="Cambria Math" panose="02040503050406030204" pitchFamily="18" charset="0"/>
                      </a:rPr>
                      <m:t>Δ</m:t>
                    </m:r>
                    <m:r>
                      <a:rPr lang="en-US" sz="1100" b="0" i="1">
                        <a:latin typeface="Cambria Math" panose="02040503050406030204" pitchFamily="18" charset="0"/>
                      </a:rPr>
                      <m:t>𝑥</m:t>
                    </m:r>
                    <m:r>
                      <a:rPr lang="en-US" sz="1100" b="0" i="1">
                        <a:latin typeface="Cambria Math" panose="02040503050406030204" pitchFamily="18" charset="0"/>
                      </a:rPr>
                      <m:t>=</m:t>
                    </m:r>
                  </m:oMath>
                </m:oMathPara>
              </a14:m>
              <a:endParaRPr lang="en-US" sz="1100"/>
            </a:p>
          </xdr:txBody>
        </xdr:sp>
      </mc:Choice>
      <mc:Fallback xmlns="">
        <xdr:sp macro="" textlink="">
          <xdr:nvSpPr>
            <xdr:cNvPr id="4" name="TextBox 3">
              <a:extLst>
                <a:ext uri="{FF2B5EF4-FFF2-40B4-BE49-F238E27FC236}">
                  <a16:creationId xmlns:a16="http://schemas.microsoft.com/office/drawing/2014/main" id="{1D8AD040-3EB9-446E-A783-B8F8DE2AE813}"/>
                </a:ext>
              </a:extLst>
            </xdr:cNvPr>
            <xdr:cNvSpPr txBox="1"/>
          </xdr:nvSpPr>
          <xdr:spPr>
            <a:xfrm>
              <a:off x="1981933" y="2488589"/>
              <a:ext cx="33990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Δ𝑥=</a:t>
              </a:r>
              <a:endParaRPr lang="en-US" sz="1100"/>
            </a:p>
          </xdr:txBody>
        </xdr:sp>
      </mc:Fallback>
    </mc:AlternateContent>
    <xdr:clientData/>
  </xdr:oneCellAnchor>
  <xdr:oneCellAnchor>
    <xdr:from>
      <xdr:col>1</xdr:col>
      <xdr:colOff>104775</xdr:colOff>
      <xdr:row>16</xdr:row>
      <xdr:rowOff>52387</xdr:rowOff>
    </xdr:from>
    <xdr:ext cx="490199" cy="172227"/>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714375" y="3452812"/>
              <a:ext cx="49019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𝑎</m:t>
                    </m:r>
                    <m:r>
                      <a:rPr lang="en-US" sz="1100" b="0" i="1">
                        <a:latin typeface="Cambria Math" panose="02040503050406030204" pitchFamily="18" charset="0"/>
                      </a:rPr>
                      <m:t>+</m:t>
                    </m:r>
                    <m:r>
                      <a:rPr lang="en-US" sz="1100" b="0" i="1">
                        <a:latin typeface="Cambria Math" panose="02040503050406030204" pitchFamily="18" charset="0"/>
                      </a:rPr>
                      <m:t>𝑖</m:t>
                    </m:r>
                    <m:r>
                      <m:rPr>
                        <m:sty m:val="p"/>
                      </m:rPr>
                      <a:rPr lang="en-US" sz="1100" b="0" i="0">
                        <a:latin typeface="Cambria Math" panose="02040503050406030204" pitchFamily="18" charset="0"/>
                      </a:rPr>
                      <m:t>Δ</m:t>
                    </m:r>
                    <m:r>
                      <a:rPr lang="en-US" sz="1100" b="0" i="1">
                        <a:latin typeface="Cambria Math" panose="02040503050406030204" pitchFamily="18" charset="0"/>
                      </a:rPr>
                      <m:t>𝑥</m:t>
                    </m:r>
                  </m:oMath>
                </m:oMathPara>
              </a14:m>
              <a:endParaRPr lang="en-US" sz="1100"/>
            </a:p>
          </xdr:txBody>
        </xdr:sp>
      </mc:Choice>
      <mc:Fallback xmlns="">
        <xdr:sp macro="" textlink="">
          <xdr:nvSpPr>
            <xdr:cNvPr id="5" name="TextBox 4">
              <a:extLst>
                <a:ext uri="{FF2B5EF4-FFF2-40B4-BE49-F238E27FC236}">
                  <a16:creationId xmlns:a16="http://schemas.microsoft.com/office/drawing/2014/main" id="{31DCE2EF-5E70-45B2-BEAD-034118CC60AB}"/>
                </a:ext>
              </a:extLst>
            </xdr:cNvPr>
            <xdr:cNvSpPr txBox="1"/>
          </xdr:nvSpPr>
          <xdr:spPr>
            <a:xfrm>
              <a:off x="714375" y="3452812"/>
              <a:ext cx="49019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𝑎+𝑖Δ𝑥</a:t>
              </a:r>
              <a:endParaRPr lang="en-US" sz="1100"/>
            </a:p>
          </xdr:txBody>
        </xdr:sp>
      </mc:Fallback>
    </mc:AlternateContent>
    <xdr:clientData/>
  </xdr:oneCellAnchor>
  <xdr:oneCellAnchor>
    <xdr:from>
      <xdr:col>0</xdr:col>
      <xdr:colOff>266700</xdr:colOff>
      <xdr:row>16</xdr:row>
      <xdr:rowOff>14287</xdr:rowOff>
    </xdr:from>
    <xdr:ext cx="81048" cy="172227"/>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00000000-0008-0000-0900-000006000000}"/>
                </a:ext>
              </a:extLst>
            </xdr:cNvPr>
            <xdr:cNvSpPr txBox="1"/>
          </xdr:nvSpPr>
          <xdr:spPr>
            <a:xfrm>
              <a:off x="266700" y="3414712"/>
              <a:ext cx="8104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𝑖</m:t>
                    </m:r>
                  </m:oMath>
                </m:oMathPara>
              </a14:m>
              <a:endParaRPr lang="en-US" sz="1100"/>
            </a:p>
          </xdr:txBody>
        </xdr:sp>
      </mc:Choice>
      <mc:Fallback xmlns="">
        <xdr:sp macro="" textlink="">
          <xdr:nvSpPr>
            <xdr:cNvPr id="6" name="TextBox 5">
              <a:extLst>
                <a:ext uri="{FF2B5EF4-FFF2-40B4-BE49-F238E27FC236}">
                  <a16:creationId xmlns:a16="http://schemas.microsoft.com/office/drawing/2014/main" id="{090A7EE3-B511-4DEF-AAEE-E8EFBE472775}"/>
                </a:ext>
              </a:extLst>
            </xdr:cNvPr>
            <xdr:cNvSpPr txBox="1"/>
          </xdr:nvSpPr>
          <xdr:spPr>
            <a:xfrm>
              <a:off x="266700" y="3414712"/>
              <a:ext cx="8104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spAutoFit/>
            </a:bodyPr>
            <a:lstStyle/>
            <a:p>
              <a:r>
                <a:rPr lang="en-US" sz="1100" b="0" i="0">
                  <a:latin typeface="Cambria Math" panose="02040503050406030204" pitchFamily="18" charset="0"/>
                </a:rPr>
                <a:t>𝑖</a:t>
              </a:r>
              <a:endParaRPr lang="en-US" sz="1100"/>
            </a:p>
          </xdr:txBody>
        </xdr:sp>
      </mc:Fallback>
    </mc:AlternateContent>
    <xdr:clientData/>
  </xdr:oneCellAnchor>
  <xdr:oneCellAnchor>
    <xdr:from>
      <xdr:col>1</xdr:col>
      <xdr:colOff>1352550</xdr:colOff>
      <xdr:row>14</xdr:row>
      <xdr:rowOff>133350</xdr:rowOff>
    </xdr:from>
    <xdr:ext cx="339901" cy="316882"/>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1962150" y="2819400"/>
              <a:ext cx="339901" cy="3168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1100" b="0" i="1">
                            <a:latin typeface="Cambria Math" panose="02040503050406030204" pitchFamily="18" charset="0"/>
                          </a:rPr>
                        </m:ctrlPr>
                      </m:fPr>
                      <m:num>
                        <m:r>
                          <m:rPr>
                            <m:sty m:val="p"/>
                          </m:rPr>
                          <a:rPr lang="en-US" sz="1100" b="0" i="0">
                            <a:latin typeface="Cambria Math" panose="02040503050406030204" pitchFamily="18" charset="0"/>
                          </a:rPr>
                          <m:t>Δ</m:t>
                        </m:r>
                        <m:r>
                          <a:rPr lang="en-US" sz="1100" b="0" i="1">
                            <a:latin typeface="Cambria Math" panose="02040503050406030204" pitchFamily="18" charset="0"/>
                          </a:rPr>
                          <m:t>𝑥</m:t>
                        </m:r>
                      </m:num>
                      <m:den>
                        <m:r>
                          <a:rPr lang="en-US" sz="1100" b="0" i="1">
                            <a:latin typeface="Cambria Math" panose="02040503050406030204" pitchFamily="18" charset="0"/>
                          </a:rPr>
                          <m:t>3</m:t>
                        </m:r>
                      </m:den>
                    </m:f>
                    <m:r>
                      <a:rPr lang="en-US" sz="1100" b="0" i="1">
                        <a:latin typeface="Cambria Math" panose="02040503050406030204" pitchFamily="18" charset="0"/>
                      </a:rPr>
                      <m:t>=</m:t>
                    </m:r>
                  </m:oMath>
                </m:oMathPara>
              </a14:m>
              <a:endParaRPr lang="en-US" sz="1100"/>
            </a:p>
          </xdr:txBody>
        </xdr:sp>
      </mc:Choice>
      <mc:Fallback xmlns="">
        <xdr:sp macro="" textlink="">
          <xdr:nvSpPr>
            <xdr:cNvPr id="7" name="TextBox 6">
              <a:extLst>
                <a:ext uri="{FF2B5EF4-FFF2-40B4-BE49-F238E27FC236}">
                  <a16:creationId xmlns:a16="http://schemas.microsoft.com/office/drawing/2014/main" id="{C3428D20-FAAA-40FB-8952-FE8027C17CC0}"/>
                </a:ext>
              </a:extLst>
            </xdr:cNvPr>
            <xdr:cNvSpPr txBox="1"/>
          </xdr:nvSpPr>
          <xdr:spPr>
            <a:xfrm>
              <a:off x="1962150" y="2819400"/>
              <a:ext cx="339901" cy="3168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Δ𝑥/3=</a:t>
              </a:r>
              <a:endParaRPr lang="en-US" sz="1100"/>
            </a:p>
          </xdr:txBody>
        </xdr:sp>
      </mc:Fallback>
    </mc:AlternateContent>
    <xdr:clientData/>
  </xdr:oneCellAnchor>
  <xdr:oneCellAnchor>
    <xdr:from>
      <xdr:col>2</xdr:col>
      <xdr:colOff>123825</xdr:colOff>
      <xdr:row>16</xdr:row>
      <xdr:rowOff>42862</xdr:rowOff>
    </xdr:from>
    <xdr:ext cx="688971" cy="172227"/>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900-000008000000}"/>
                </a:ext>
              </a:extLst>
            </xdr:cNvPr>
            <xdr:cNvSpPr txBox="1"/>
          </xdr:nvSpPr>
          <xdr:spPr>
            <a:xfrm>
              <a:off x="2486025" y="3443287"/>
              <a:ext cx="68897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𝑓</m:t>
                    </m:r>
                    <m:r>
                      <a:rPr lang="en-US" sz="1100" b="0" i="1">
                        <a:latin typeface="Cambria Math" panose="02040503050406030204" pitchFamily="18" charset="0"/>
                      </a:rPr>
                      <m:t>(</m:t>
                    </m:r>
                    <m:r>
                      <a:rPr lang="en-US" sz="1100" b="0" i="1">
                        <a:latin typeface="Cambria Math" panose="02040503050406030204" pitchFamily="18" charset="0"/>
                      </a:rPr>
                      <m:t>𝑎</m:t>
                    </m:r>
                    <m:r>
                      <a:rPr lang="en-US" sz="1100" b="0" i="1">
                        <a:latin typeface="Cambria Math" panose="02040503050406030204" pitchFamily="18" charset="0"/>
                      </a:rPr>
                      <m:t>+</m:t>
                    </m:r>
                    <m:r>
                      <a:rPr lang="en-US" sz="1100" b="0" i="1">
                        <a:latin typeface="Cambria Math" panose="02040503050406030204" pitchFamily="18" charset="0"/>
                      </a:rPr>
                      <m:t>𝑖</m:t>
                    </m:r>
                    <m:r>
                      <m:rPr>
                        <m:sty m:val="p"/>
                      </m:rPr>
                      <a:rPr lang="en-US" sz="1100" b="0" i="0">
                        <a:latin typeface="Cambria Math" panose="02040503050406030204" pitchFamily="18" charset="0"/>
                      </a:rPr>
                      <m:t>Δ</m:t>
                    </m:r>
                    <m:r>
                      <a:rPr lang="en-US" sz="1100" b="0" i="1">
                        <a:latin typeface="Cambria Math" panose="02040503050406030204" pitchFamily="18" charset="0"/>
                      </a:rPr>
                      <m:t>𝑥</m:t>
                    </m:r>
                    <m:r>
                      <a:rPr lang="en-US" sz="1100" b="0" i="1">
                        <a:latin typeface="Cambria Math" panose="02040503050406030204" pitchFamily="18" charset="0"/>
                      </a:rPr>
                      <m:t>)</m:t>
                    </m:r>
                  </m:oMath>
                </m:oMathPara>
              </a14:m>
              <a:endParaRPr lang="en-US" sz="1100"/>
            </a:p>
          </xdr:txBody>
        </xdr:sp>
      </mc:Choice>
      <mc:Fallback xmlns="">
        <xdr:sp macro="" textlink="">
          <xdr:nvSpPr>
            <xdr:cNvPr id="8" name="TextBox 7">
              <a:extLst>
                <a:ext uri="{FF2B5EF4-FFF2-40B4-BE49-F238E27FC236}">
                  <a16:creationId xmlns:a16="http://schemas.microsoft.com/office/drawing/2014/main" id="{3925030E-1D9B-4170-8608-6C1343831304}"/>
                </a:ext>
              </a:extLst>
            </xdr:cNvPr>
            <xdr:cNvSpPr txBox="1"/>
          </xdr:nvSpPr>
          <xdr:spPr>
            <a:xfrm>
              <a:off x="2486025" y="3443287"/>
              <a:ext cx="68897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𝑓(𝑎+𝑖Δ𝑥)</a:t>
              </a:r>
              <a:endParaRPr lang="en-US" sz="1100"/>
            </a:p>
          </xdr:txBody>
        </xdr:sp>
      </mc:Fallback>
    </mc:AlternateContent>
    <xdr:clientData/>
  </xdr:oneCellAnchor>
  <xdr:oneCellAnchor>
    <xdr:from>
      <xdr:col>4</xdr:col>
      <xdr:colOff>66675</xdr:colOff>
      <xdr:row>16</xdr:row>
      <xdr:rowOff>28575</xdr:rowOff>
    </xdr:from>
    <xdr:ext cx="1213537" cy="172227"/>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900-000009000000}"/>
                </a:ext>
              </a:extLst>
            </xdr:cNvPr>
            <xdr:cNvSpPr txBox="1"/>
          </xdr:nvSpPr>
          <xdr:spPr>
            <a:xfrm>
              <a:off x="5467350" y="3429000"/>
              <a:ext cx="121353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𝑓𝑎𝑐𝑡𝑜𝑟</m:t>
                    </m:r>
                    <m:r>
                      <a:rPr lang="en-US" sz="1100" b="0" i="1">
                        <a:latin typeface="Cambria Math" panose="02040503050406030204" pitchFamily="18" charset="0"/>
                      </a:rPr>
                      <m:t>⋅</m:t>
                    </m:r>
                    <m:r>
                      <a:rPr lang="en-US" sz="1100" b="0" i="1">
                        <a:latin typeface="Cambria Math" panose="02040503050406030204" pitchFamily="18" charset="0"/>
                      </a:rPr>
                      <m:t>𝑓</m:t>
                    </m:r>
                    <m:r>
                      <a:rPr lang="en-US" sz="1100" b="0" i="1">
                        <a:latin typeface="Cambria Math" panose="02040503050406030204" pitchFamily="18" charset="0"/>
                      </a:rPr>
                      <m:t>(</m:t>
                    </m:r>
                    <m:r>
                      <a:rPr lang="en-US" sz="1100" b="0" i="1">
                        <a:latin typeface="Cambria Math" panose="02040503050406030204" pitchFamily="18" charset="0"/>
                      </a:rPr>
                      <m:t>𝑎</m:t>
                    </m:r>
                    <m:r>
                      <a:rPr lang="en-US" sz="1100" b="0" i="1">
                        <a:latin typeface="Cambria Math" panose="02040503050406030204" pitchFamily="18" charset="0"/>
                      </a:rPr>
                      <m:t>+</m:t>
                    </m:r>
                    <m:r>
                      <a:rPr lang="en-US" sz="1100" b="0" i="1">
                        <a:latin typeface="Cambria Math" panose="02040503050406030204" pitchFamily="18" charset="0"/>
                      </a:rPr>
                      <m:t>𝑖</m:t>
                    </m:r>
                    <m:r>
                      <m:rPr>
                        <m:sty m:val="p"/>
                      </m:rPr>
                      <a:rPr lang="en-US" sz="1100" b="0" i="0">
                        <a:latin typeface="Cambria Math" panose="02040503050406030204" pitchFamily="18" charset="0"/>
                      </a:rPr>
                      <m:t>Δ</m:t>
                    </m:r>
                    <m:r>
                      <a:rPr lang="en-US" sz="1100" b="0" i="1">
                        <a:latin typeface="Cambria Math" panose="02040503050406030204" pitchFamily="18" charset="0"/>
                      </a:rPr>
                      <m:t>𝑥</m:t>
                    </m:r>
                    <m:r>
                      <a:rPr lang="en-US" sz="1100" b="0" i="1">
                        <a:latin typeface="Cambria Math" panose="02040503050406030204" pitchFamily="18" charset="0"/>
                      </a:rPr>
                      <m:t>)</m:t>
                    </m:r>
                  </m:oMath>
                </m:oMathPara>
              </a14:m>
              <a:endParaRPr lang="en-US" sz="1100"/>
            </a:p>
          </xdr:txBody>
        </xdr:sp>
      </mc:Choice>
      <mc:Fallback xmlns="">
        <xdr:sp macro="" textlink="">
          <xdr:nvSpPr>
            <xdr:cNvPr id="9" name="TextBox 8">
              <a:extLst>
                <a:ext uri="{FF2B5EF4-FFF2-40B4-BE49-F238E27FC236}">
                  <a16:creationId xmlns:a16="http://schemas.microsoft.com/office/drawing/2014/main" id="{898737E0-A91E-4D6B-8677-581C9801AB7E}"/>
                </a:ext>
              </a:extLst>
            </xdr:cNvPr>
            <xdr:cNvSpPr txBox="1"/>
          </xdr:nvSpPr>
          <xdr:spPr>
            <a:xfrm>
              <a:off x="5467350" y="3429000"/>
              <a:ext cx="121353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𝑓𝑎𝑐𝑡𝑜𝑟⋅𝑓(𝑎+𝑖Δ𝑥)</a:t>
              </a:r>
              <a:endParaRPr lang="en-US" sz="1100"/>
            </a:p>
          </xdr:txBody>
        </xdr:sp>
      </mc:Fallback>
    </mc:AlternateContent>
    <xdr:clientData/>
  </xdr:oneCellAnchor>
  <xdr:oneCellAnchor>
    <xdr:from>
      <xdr:col>3</xdr:col>
      <xdr:colOff>85725</xdr:colOff>
      <xdr:row>32</xdr:row>
      <xdr:rowOff>19050</xdr:rowOff>
    </xdr:from>
    <xdr:ext cx="1782476" cy="172227"/>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3657600" y="6667500"/>
              <a:ext cx="178247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𝑆𝑢𝑚</m:t>
                    </m:r>
                    <m:r>
                      <a:rPr lang="en-US" sz="1100" b="0" i="1">
                        <a:latin typeface="Cambria Math" panose="02040503050406030204" pitchFamily="18" charset="0"/>
                      </a:rPr>
                      <m:t> (</m:t>
                    </m:r>
                    <m:r>
                      <a:rPr lang="en-US" sz="1100" b="0" i="1">
                        <a:latin typeface="Cambria Math" panose="02040503050406030204" pitchFamily="18" charset="0"/>
                      </a:rPr>
                      <m:t>𝑓𝑎𝑐𝑡𝑜𝑟</m:t>
                    </m:r>
                    <m:r>
                      <a:rPr lang="en-US" sz="1100" b="0" i="1">
                        <a:latin typeface="Cambria Math" panose="02040503050406030204" pitchFamily="18" charset="0"/>
                      </a:rPr>
                      <m:t>⋅</m:t>
                    </m:r>
                    <m:r>
                      <a:rPr lang="en-US" sz="1100" b="0" i="1">
                        <a:latin typeface="Cambria Math" panose="02040503050406030204" pitchFamily="18" charset="0"/>
                      </a:rPr>
                      <m:t>𝑓</m:t>
                    </m:r>
                    <m:d>
                      <m:dPr>
                        <m:ctrlPr>
                          <a:rPr lang="en-US" sz="1100" b="0" i="1">
                            <a:latin typeface="Cambria Math" panose="02040503050406030204" pitchFamily="18" charset="0"/>
                          </a:rPr>
                        </m:ctrlPr>
                      </m:dPr>
                      <m:e>
                        <m:r>
                          <a:rPr lang="en-US" sz="1100" b="0" i="1">
                            <a:latin typeface="Cambria Math" panose="02040503050406030204" pitchFamily="18" charset="0"/>
                          </a:rPr>
                          <m:t>𝑎</m:t>
                        </m:r>
                        <m:r>
                          <a:rPr lang="en-US" sz="1100" b="0" i="1">
                            <a:latin typeface="Cambria Math" panose="02040503050406030204" pitchFamily="18" charset="0"/>
                          </a:rPr>
                          <m:t>+</m:t>
                        </m:r>
                        <m:r>
                          <a:rPr lang="en-US" sz="1100" b="0" i="1">
                            <a:latin typeface="Cambria Math" panose="02040503050406030204" pitchFamily="18" charset="0"/>
                          </a:rPr>
                          <m:t>𝑖</m:t>
                        </m:r>
                        <m:r>
                          <m:rPr>
                            <m:sty m:val="p"/>
                          </m:rPr>
                          <a:rPr lang="en-US" sz="1100" b="0" i="0">
                            <a:latin typeface="Cambria Math" panose="02040503050406030204" pitchFamily="18" charset="0"/>
                          </a:rPr>
                          <m:t>Δ</m:t>
                        </m:r>
                        <m:r>
                          <a:rPr lang="en-US" sz="1100" b="0" i="1">
                            <a:latin typeface="Cambria Math" panose="02040503050406030204" pitchFamily="18" charset="0"/>
                          </a:rPr>
                          <m:t>𝑥</m:t>
                        </m:r>
                      </m:e>
                    </m:d>
                    <m:r>
                      <a:rPr lang="en-US" sz="1100" b="0" i="1">
                        <a:latin typeface="Cambria Math" panose="02040503050406030204" pitchFamily="18" charset="0"/>
                      </a:rPr>
                      <m:t>)=</m:t>
                    </m:r>
                  </m:oMath>
                </m:oMathPara>
              </a14:m>
              <a:endParaRPr lang="en-US" sz="1100"/>
            </a:p>
          </xdr:txBody>
        </xdr:sp>
      </mc:Choice>
      <mc:Fallback xmlns="">
        <xdr:sp macro="" textlink="">
          <xdr:nvSpPr>
            <xdr:cNvPr id="10" name="TextBox 9">
              <a:extLst>
                <a:ext uri="{FF2B5EF4-FFF2-40B4-BE49-F238E27FC236}">
                  <a16:creationId xmlns:a16="http://schemas.microsoft.com/office/drawing/2014/main" id="{A6F4F3AE-13C2-4E83-AB54-E1D1EA7E10FC}"/>
                </a:ext>
              </a:extLst>
            </xdr:cNvPr>
            <xdr:cNvSpPr txBox="1"/>
          </xdr:nvSpPr>
          <xdr:spPr>
            <a:xfrm>
              <a:off x="3657600" y="6667500"/>
              <a:ext cx="178247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𝑆𝑢𝑚 (𝑓𝑎𝑐𝑡𝑜𝑟⋅𝑓(𝑎+𝑖Δ𝑥))=</a:t>
              </a:r>
              <a:endParaRPr lang="en-US" sz="1100"/>
            </a:p>
          </xdr:txBody>
        </xdr:sp>
      </mc:Fallback>
    </mc:AlternateContent>
    <xdr:clientData/>
  </xdr:oneCellAnchor>
  <xdr:oneCellAnchor>
    <xdr:from>
      <xdr:col>5</xdr:col>
      <xdr:colOff>66675</xdr:colOff>
      <xdr:row>16</xdr:row>
      <xdr:rowOff>52387</xdr:rowOff>
    </xdr:from>
    <xdr:ext cx="1882438" cy="316882"/>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00000000-0008-0000-0900-00000B000000}"/>
                </a:ext>
              </a:extLst>
            </xdr:cNvPr>
            <xdr:cNvSpPr txBox="1"/>
          </xdr:nvSpPr>
          <xdr:spPr>
            <a:xfrm>
              <a:off x="6838950" y="3452812"/>
              <a:ext cx="1882438" cy="3168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𝑆𝑢𝑚</m:t>
                    </m:r>
                    <m:d>
                      <m:dPr>
                        <m:ctrlPr>
                          <a:rPr lang="en-US" sz="1100" b="0" i="1">
                            <a:latin typeface="Cambria Math" panose="02040503050406030204" pitchFamily="18" charset="0"/>
                          </a:rPr>
                        </m:ctrlPr>
                      </m:dPr>
                      <m:e>
                        <m:r>
                          <a:rPr lang="en-US" sz="1100" b="0" i="1">
                            <a:latin typeface="Cambria Math" panose="02040503050406030204" pitchFamily="18" charset="0"/>
                          </a:rPr>
                          <m:t>𝑓𝑎𝑐𝑡𝑜𝑟</m:t>
                        </m:r>
                        <m:r>
                          <a:rPr lang="en-US" sz="1100" b="0" i="1">
                            <a:latin typeface="Cambria Math" panose="02040503050406030204" pitchFamily="18" charset="0"/>
                          </a:rPr>
                          <m:t>⋅</m:t>
                        </m:r>
                        <m:r>
                          <a:rPr lang="en-US" sz="1100" b="0" i="1">
                            <a:latin typeface="Cambria Math" panose="02040503050406030204" pitchFamily="18" charset="0"/>
                          </a:rPr>
                          <m:t>𝑓</m:t>
                        </m:r>
                        <m:d>
                          <m:dPr>
                            <m:ctrlPr>
                              <a:rPr lang="en-US" sz="1100" b="0" i="1">
                                <a:latin typeface="Cambria Math" panose="02040503050406030204" pitchFamily="18" charset="0"/>
                              </a:rPr>
                            </m:ctrlPr>
                          </m:dPr>
                          <m:e>
                            <m:r>
                              <a:rPr lang="en-US" sz="1100" b="0" i="1">
                                <a:latin typeface="Cambria Math" panose="02040503050406030204" pitchFamily="18" charset="0"/>
                              </a:rPr>
                              <m:t>𝑎</m:t>
                            </m:r>
                            <m:r>
                              <a:rPr lang="en-US" sz="1100" b="0" i="1">
                                <a:latin typeface="Cambria Math" panose="02040503050406030204" pitchFamily="18" charset="0"/>
                              </a:rPr>
                              <m:t>+</m:t>
                            </m:r>
                            <m:r>
                              <a:rPr lang="en-US" sz="1100" b="0" i="1">
                                <a:latin typeface="Cambria Math" panose="02040503050406030204" pitchFamily="18" charset="0"/>
                              </a:rPr>
                              <m:t>𝑖</m:t>
                            </m:r>
                            <m:r>
                              <m:rPr>
                                <m:sty m:val="p"/>
                              </m:rPr>
                              <a:rPr lang="en-US" sz="1100" b="0" i="0">
                                <a:latin typeface="Cambria Math" panose="02040503050406030204" pitchFamily="18" charset="0"/>
                              </a:rPr>
                              <m:t>Δ</m:t>
                            </m:r>
                            <m:r>
                              <a:rPr lang="en-US" sz="1100" b="0" i="1">
                                <a:latin typeface="Cambria Math" panose="02040503050406030204" pitchFamily="18" charset="0"/>
                              </a:rPr>
                              <m:t>𝑥</m:t>
                            </m:r>
                          </m:e>
                        </m:d>
                      </m:e>
                    </m:d>
                    <m:r>
                      <a:rPr lang="en-US" sz="1100" b="0" i="1">
                        <a:latin typeface="Cambria Math" panose="02040503050406030204" pitchFamily="18" charset="0"/>
                      </a:rPr>
                      <m:t>⋅</m:t>
                    </m:r>
                    <m:f>
                      <m:fPr>
                        <m:ctrlPr>
                          <a:rPr lang="en-US" sz="1100" b="0" i="1">
                            <a:latin typeface="Cambria Math" panose="02040503050406030204" pitchFamily="18" charset="0"/>
                          </a:rPr>
                        </m:ctrlPr>
                      </m:fPr>
                      <m:num>
                        <m:r>
                          <m:rPr>
                            <m:sty m:val="p"/>
                          </m:rPr>
                          <a:rPr lang="en-US" sz="1100" b="0" i="0">
                            <a:latin typeface="Cambria Math" panose="02040503050406030204" pitchFamily="18" charset="0"/>
                          </a:rPr>
                          <m:t>Δ</m:t>
                        </m:r>
                        <m:r>
                          <a:rPr lang="en-US" sz="1100" b="0" i="1">
                            <a:latin typeface="Cambria Math" panose="02040503050406030204" pitchFamily="18" charset="0"/>
                          </a:rPr>
                          <m:t>𝑥</m:t>
                        </m:r>
                      </m:num>
                      <m:den>
                        <m:r>
                          <a:rPr lang="en-US" sz="1100" b="0" i="1">
                            <a:latin typeface="Cambria Math" panose="02040503050406030204" pitchFamily="18" charset="0"/>
                          </a:rPr>
                          <m:t>3</m:t>
                        </m:r>
                      </m:den>
                    </m:f>
                  </m:oMath>
                </m:oMathPara>
              </a14:m>
              <a:endParaRPr lang="en-US" sz="1100"/>
            </a:p>
          </xdr:txBody>
        </xdr:sp>
      </mc:Choice>
      <mc:Fallback xmlns="">
        <xdr:sp macro="" textlink="">
          <xdr:nvSpPr>
            <xdr:cNvPr id="11" name="TextBox 10">
              <a:extLst>
                <a:ext uri="{FF2B5EF4-FFF2-40B4-BE49-F238E27FC236}">
                  <a16:creationId xmlns:a16="http://schemas.microsoft.com/office/drawing/2014/main" id="{8629AA21-8B65-4E11-8B3F-A2269BF42473}"/>
                </a:ext>
              </a:extLst>
            </xdr:cNvPr>
            <xdr:cNvSpPr txBox="1"/>
          </xdr:nvSpPr>
          <xdr:spPr>
            <a:xfrm>
              <a:off x="6838950" y="3452812"/>
              <a:ext cx="1882438" cy="3168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𝑆𝑢𝑚(𝑓𝑎𝑐𝑡𝑜𝑟⋅𝑓(𝑎+𝑖Δ𝑥))⋅Δ𝑥/3</a:t>
              </a:r>
              <a:endParaRPr lang="en-US" sz="1100"/>
            </a:p>
          </xdr:txBody>
        </xdr:sp>
      </mc:Fallback>
    </mc:AlternateContent>
    <xdr:clientData/>
  </xdr:oneCellAnchor>
  <xdr:twoCellAnchor>
    <xdr:from>
      <xdr:col>3</xdr:col>
      <xdr:colOff>352425</xdr:colOff>
      <xdr:row>5</xdr:row>
      <xdr:rowOff>76200</xdr:rowOff>
    </xdr:from>
    <xdr:to>
      <xdr:col>7</xdr:col>
      <xdr:colOff>495300</xdr:colOff>
      <xdr:row>8</xdr:row>
      <xdr:rowOff>123825</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924300" y="1028700"/>
          <a:ext cx="5943600" cy="619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138961</xdr:colOff>
      <xdr:row>26</xdr:row>
      <xdr:rowOff>142874</xdr:rowOff>
    </xdr:from>
    <xdr:to>
      <xdr:col>8</xdr:col>
      <xdr:colOff>410732</xdr:colOff>
      <xdr:row>37</xdr:row>
      <xdr:rowOff>133350</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a:stretch>
          <a:fillRect/>
        </a:stretch>
      </xdr:blipFill>
      <xdr:spPr>
        <a:xfrm>
          <a:off x="6911236" y="5648324"/>
          <a:ext cx="3481696" cy="2571751"/>
        </a:xfrm>
        <a:prstGeom prst="rect">
          <a:avLst/>
        </a:prstGeom>
      </xdr:spPr>
    </xdr:pic>
    <xdr:clientData/>
  </xdr:twoCellAnchor>
  <xdr:oneCellAnchor>
    <xdr:from>
      <xdr:col>1</xdr:col>
      <xdr:colOff>314325</xdr:colOff>
      <xdr:row>34</xdr:row>
      <xdr:rowOff>95250</xdr:rowOff>
    </xdr:from>
    <xdr:ext cx="1325171" cy="483915"/>
    <mc:AlternateContent xmlns:mc="http://schemas.openxmlformats.org/markup-compatibility/2006" xmlns:a14="http://schemas.microsoft.com/office/drawing/2010/main">
      <mc:Choice Requires="a14">
        <xdr:sp macro="" textlink="">
          <xdr:nvSpPr>
            <xdr:cNvPr id="13" name="TextBox 12">
              <a:extLst>
                <a:ext uri="{FF2B5EF4-FFF2-40B4-BE49-F238E27FC236}">
                  <a16:creationId xmlns:a16="http://schemas.microsoft.com/office/drawing/2014/main" id="{00000000-0008-0000-0900-00000D000000}"/>
                </a:ext>
              </a:extLst>
            </xdr:cNvPr>
            <xdr:cNvSpPr txBox="1"/>
          </xdr:nvSpPr>
          <xdr:spPr>
            <a:xfrm>
              <a:off x="923925" y="7124700"/>
              <a:ext cx="1325171" cy="483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nary>
                      <m:naryPr>
                        <m:ctrlPr>
                          <a:rPr lang="en-US" sz="1400" b="0" i="1">
                            <a:latin typeface="Cambria Math" panose="02040503050406030204" pitchFamily="18" charset="0"/>
                          </a:rPr>
                        </m:ctrlPr>
                      </m:naryPr>
                      <m:sub>
                        <m:r>
                          <m:rPr>
                            <m:brk m:alnAt="23"/>
                          </m:rPr>
                          <a:rPr lang="en-US" sz="1400" b="0" i="1">
                            <a:latin typeface="Cambria Math" panose="02040503050406030204" pitchFamily="18" charset="0"/>
                          </a:rPr>
                          <m:t>0</m:t>
                        </m:r>
                      </m:sub>
                      <m:sup>
                        <m:r>
                          <a:rPr lang="en-US" sz="1400" b="0" i="1">
                            <a:latin typeface="Cambria Math" panose="02040503050406030204" pitchFamily="18" charset="0"/>
                          </a:rPr>
                          <m:t>1</m:t>
                        </m:r>
                      </m:sup>
                      <m:e>
                        <m:rad>
                          <m:radPr>
                            <m:degHide m:val="on"/>
                            <m:ctrlPr>
                              <a:rPr lang="en-US" sz="1400" b="0" i="1">
                                <a:latin typeface="Cambria Math" panose="02040503050406030204" pitchFamily="18" charset="0"/>
                              </a:rPr>
                            </m:ctrlPr>
                          </m:radPr>
                          <m:deg/>
                          <m:e>
                            <m:r>
                              <a:rPr lang="en-US" sz="1400" b="0" i="1">
                                <a:latin typeface="Cambria Math" panose="02040503050406030204" pitchFamily="18" charset="0"/>
                              </a:rPr>
                              <m:t>1−</m:t>
                            </m:r>
                            <m:sSup>
                              <m:sSupPr>
                                <m:ctrlPr>
                                  <a:rPr lang="en-US" sz="1400" b="0" i="1">
                                    <a:latin typeface="Cambria Math" panose="02040503050406030204" pitchFamily="18" charset="0"/>
                                  </a:rPr>
                                </m:ctrlPr>
                              </m:sSupPr>
                              <m:e>
                                <m:r>
                                  <a:rPr lang="en-US" sz="1400" b="0" i="1">
                                    <a:latin typeface="Cambria Math" panose="02040503050406030204" pitchFamily="18" charset="0"/>
                                  </a:rPr>
                                  <m:t>𝑥</m:t>
                                </m:r>
                              </m:e>
                              <m:sup>
                                <m:r>
                                  <a:rPr lang="en-US" sz="1400" b="0" i="1">
                                    <a:latin typeface="Cambria Math" panose="02040503050406030204" pitchFamily="18" charset="0"/>
                                  </a:rPr>
                                  <m:t>2</m:t>
                                </m:r>
                              </m:sup>
                            </m:sSup>
                          </m:e>
                        </m:rad>
                        <m:r>
                          <a:rPr lang="en-US" sz="1400" b="0" i="1">
                            <a:latin typeface="Cambria Math" panose="02040503050406030204" pitchFamily="18" charset="0"/>
                          </a:rPr>
                          <m:t> </m:t>
                        </m:r>
                        <m:r>
                          <a:rPr lang="en-US" sz="1400" b="0" i="1">
                            <a:latin typeface="Cambria Math" panose="02040503050406030204" pitchFamily="18" charset="0"/>
                          </a:rPr>
                          <m:t>𝑑𝑥</m:t>
                        </m:r>
                      </m:e>
                    </m:nary>
                    <m:r>
                      <a:rPr lang="en-US" sz="1400" b="0" i="1">
                        <a:latin typeface="Cambria Math" panose="02040503050406030204" pitchFamily="18" charset="0"/>
                      </a:rPr>
                      <m:t>=</m:t>
                    </m:r>
                  </m:oMath>
                </m:oMathPara>
              </a14:m>
              <a:endParaRPr lang="en-US" sz="1400"/>
            </a:p>
          </xdr:txBody>
        </xdr:sp>
      </mc:Choice>
      <mc:Fallback xmlns="">
        <xdr:sp macro="" textlink="">
          <xdr:nvSpPr>
            <xdr:cNvPr id="13" name="TextBox 12">
              <a:extLst>
                <a:ext uri="{FF2B5EF4-FFF2-40B4-BE49-F238E27FC236}">
                  <a16:creationId xmlns:a16="http://schemas.microsoft.com/office/drawing/2014/main" id="{43E5CE3A-6DBC-4ED3-9AEE-8B001CAC341B}"/>
                </a:ext>
              </a:extLst>
            </xdr:cNvPr>
            <xdr:cNvSpPr txBox="1"/>
          </xdr:nvSpPr>
          <xdr:spPr>
            <a:xfrm>
              <a:off x="923925" y="7124700"/>
              <a:ext cx="1325171" cy="483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400" b="0" i="0">
                  <a:latin typeface="Cambria Math" panose="02040503050406030204" pitchFamily="18" charset="0"/>
                </a:rPr>
                <a:t>∫_0^1▒〖√(1−𝑥^2 )  𝑑𝑥〗=</a:t>
              </a:r>
              <a:endParaRPr lang="en-US" sz="1400"/>
            </a:p>
          </xdr:txBody>
        </xdr:sp>
      </mc:Fallback>
    </mc:AlternateContent>
    <xdr:clientData/>
  </xdr:oneCellAnchor>
</xdr:wsDr>
</file>

<file path=xl/drawings/drawing10.xml><?xml version="1.0" encoding="utf-8"?>
<xdr:wsDr xmlns:xdr="http://schemas.openxmlformats.org/drawingml/2006/spreadsheetDrawing" xmlns:a="http://schemas.openxmlformats.org/drawingml/2006/main">
  <xdr:oneCellAnchor>
    <xdr:from>
      <xdr:col>1</xdr:col>
      <xdr:colOff>1372333</xdr:colOff>
      <xdr:row>15</xdr:row>
      <xdr:rowOff>12089</xdr:rowOff>
    </xdr:from>
    <xdr:ext cx="339901" cy="172227"/>
    <mc:AlternateContent xmlns:mc="http://schemas.openxmlformats.org/markup-compatibility/2006" xmlns:a14="http://schemas.microsoft.com/office/drawing/2010/main">
      <mc:Choice Requires="a14">
        <xdr:sp macro="" textlink="">
          <xdr:nvSpPr>
            <xdr:cNvPr id="15" name="TextBox 14">
              <a:extLst>
                <a:ext uri="{FF2B5EF4-FFF2-40B4-BE49-F238E27FC236}">
                  <a16:creationId xmlns:a16="http://schemas.microsoft.com/office/drawing/2014/main" id="{00000000-0008-0000-0A00-00000F000000}"/>
                </a:ext>
              </a:extLst>
            </xdr:cNvPr>
            <xdr:cNvSpPr txBox="1"/>
          </xdr:nvSpPr>
          <xdr:spPr>
            <a:xfrm>
              <a:off x="1981933" y="2783864"/>
              <a:ext cx="33990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n-US" sz="1100" b="0" i="0">
                        <a:latin typeface="Cambria Math" panose="02040503050406030204" pitchFamily="18" charset="0"/>
                      </a:rPr>
                      <m:t>Δ</m:t>
                    </m:r>
                    <m:r>
                      <a:rPr lang="en-US" sz="1100" b="0" i="1">
                        <a:latin typeface="Cambria Math" panose="02040503050406030204" pitchFamily="18" charset="0"/>
                      </a:rPr>
                      <m:t>𝑥</m:t>
                    </m:r>
                    <m:r>
                      <a:rPr lang="en-US" sz="1100" b="0" i="1">
                        <a:latin typeface="Cambria Math" panose="02040503050406030204" pitchFamily="18" charset="0"/>
                      </a:rPr>
                      <m:t>=</m:t>
                    </m:r>
                  </m:oMath>
                </m:oMathPara>
              </a14:m>
              <a:endParaRPr lang="en-US" sz="1100"/>
            </a:p>
          </xdr:txBody>
        </xdr:sp>
      </mc:Choice>
      <mc:Fallback xmlns="">
        <xdr:sp macro="" textlink="">
          <xdr:nvSpPr>
            <xdr:cNvPr id="15" name="TextBox 14">
              <a:extLst>
                <a:ext uri="{FF2B5EF4-FFF2-40B4-BE49-F238E27FC236}">
                  <a16:creationId xmlns:a16="http://schemas.microsoft.com/office/drawing/2014/main" id="{BFF4A2B5-9EDC-4D3F-B567-BE5546783CE7}"/>
                </a:ext>
              </a:extLst>
            </xdr:cNvPr>
            <xdr:cNvSpPr txBox="1"/>
          </xdr:nvSpPr>
          <xdr:spPr>
            <a:xfrm>
              <a:off x="1981933" y="2783864"/>
              <a:ext cx="33990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Δ𝑥=</a:t>
              </a:r>
              <a:endParaRPr lang="en-US" sz="1100"/>
            </a:p>
          </xdr:txBody>
        </xdr:sp>
      </mc:Fallback>
    </mc:AlternateContent>
    <xdr:clientData/>
  </xdr:oneCellAnchor>
  <xdr:oneCellAnchor>
    <xdr:from>
      <xdr:col>1</xdr:col>
      <xdr:colOff>104775</xdr:colOff>
      <xdr:row>19</xdr:row>
      <xdr:rowOff>52387</xdr:rowOff>
    </xdr:from>
    <xdr:ext cx="490199" cy="172227"/>
    <mc:AlternateContent xmlns:mc="http://schemas.openxmlformats.org/markup-compatibility/2006" xmlns:a14="http://schemas.microsoft.com/office/drawing/2010/main">
      <mc:Choice Requires="a14">
        <xdr:sp macro="" textlink="">
          <xdr:nvSpPr>
            <xdr:cNvPr id="16" name="TextBox 15">
              <a:extLst>
                <a:ext uri="{FF2B5EF4-FFF2-40B4-BE49-F238E27FC236}">
                  <a16:creationId xmlns:a16="http://schemas.microsoft.com/office/drawing/2014/main" id="{00000000-0008-0000-0A00-000010000000}"/>
                </a:ext>
              </a:extLst>
            </xdr:cNvPr>
            <xdr:cNvSpPr txBox="1"/>
          </xdr:nvSpPr>
          <xdr:spPr>
            <a:xfrm>
              <a:off x="714375" y="3748087"/>
              <a:ext cx="49019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𝑎</m:t>
                    </m:r>
                    <m:r>
                      <a:rPr lang="en-US" sz="1100" b="0" i="1">
                        <a:latin typeface="Cambria Math" panose="02040503050406030204" pitchFamily="18" charset="0"/>
                      </a:rPr>
                      <m:t>+</m:t>
                    </m:r>
                    <m:r>
                      <a:rPr lang="en-US" sz="1100" b="0" i="1">
                        <a:latin typeface="Cambria Math" panose="02040503050406030204" pitchFamily="18" charset="0"/>
                      </a:rPr>
                      <m:t>𝑖</m:t>
                    </m:r>
                    <m:r>
                      <m:rPr>
                        <m:sty m:val="p"/>
                      </m:rPr>
                      <a:rPr lang="en-US" sz="1100" b="0" i="0">
                        <a:latin typeface="Cambria Math" panose="02040503050406030204" pitchFamily="18" charset="0"/>
                      </a:rPr>
                      <m:t>Δ</m:t>
                    </m:r>
                    <m:r>
                      <a:rPr lang="en-US" sz="1100" b="0" i="1">
                        <a:latin typeface="Cambria Math" panose="02040503050406030204" pitchFamily="18" charset="0"/>
                      </a:rPr>
                      <m:t>𝑥</m:t>
                    </m:r>
                  </m:oMath>
                </m:oMathPara>
              </a14:m>
              <a:endParaRPr lang="en-US" sz="1100"/>
            </a:p>
          </xdr:txBody>
        </xdr:sp>
      </mc:Choice>
      <mc:Fallback xmlns="">
        <xdr:sp macro="" textlink="">
          <xdr:nvSpPr>
            <xdr:cNvPr id="16" name="TextBox 15">
              <a:extLst>
                <a:ext uri="{FF2B5EF4-FFF2-40B4-BE49-F238E27FC236}">
                  <a16:creationId xmlns:a16="http://schemas.microsoft.com/office/drawing/2014/main" id="{699ACD33-A7A1-4951-AE2B-EE1DC4D73A87}"/>
                </a:ext>
              </a:extLst>
            </xdr:cNvPr>
            <xdr:cNvSpPr txBox="1"/>
          </xdr:nvSpPr>
          <xdr:spPr>
            <a:xfrm>
              <a:off x="714375" y="3748087"/>
              <a:ext cx="49019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𝑎+𝑖Δ𝑥</a:t>
              </a:r>
              <a:endParaRPr lang="en-US" sz="1100"/>
            </a:p>
          </xdr:txBody>
        </xdr:sp>
      </mc:Fallback>
    </mc:AlternateContent>
    <xdr:clientData/>
  </xdr:oneCellAnchor>
  <xdr:oneCellAnchor>
    <xdr:from>
      <xdr:col>0</xdr:col>
      <xdr:colOff>266700</xdr:colOff>
      <xdr:row>19</xdr:row>
      <xdr:rowOff>14287</xdr:rowOff>
    </xdr:from>
    <xdr:ext cx="81048" cy="172227"/>
    <mc:AlternateContent xmlns:mc="http://schemas.openxmlformats.org/markup-compatibility/2006" xmlns:a14="http://schemas.microsoft.com/office/drawing/2010/main">
      <mc:Choice Requires="a14">
        <xdr:sp macro="" textlink="">
          <xdr:nvSpPr>
            <xdr:cNvPr id="17" name="TextBox 16">
              <a:extLst>
                <a:ext uri="{FF2B5EF4-FFF2-40B4-BE49-F238E27FC236}">
                  <a16:creationId xmlns:a16="http://schemas.microsoft.com/office/drawing/2014/main" id="{00000000-0008-0000-0A00-000011000000}"/>
                </a:ext>
              </a:extLst>
            </xdr:cNvPr>
            <xdr:cNvSpPr txBox="1"/>
          </xdr:nvSpPr>
          <xdr:spPr>
            <a:xfrm>
              <a:off x="266700" y="3709987"/>
              <a:ext cx="8104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𝑖</m:t>
                    </m:r>
                  </m:oMath>
                </m:oMathPara>
              </a14:m>
              <a:endParaRPr lang="en-US" sz="1100"/>
            </a:p>
          </xdr:txBody>
        </xdr:sp>
      </mc:Choice>
      <mc:Fallback xmlns="">
        <xdr:sp macro="" textlink="">
          <xdr:nvSpPr>
            <xdr:cNvPr id="17" name="TextBox 16">
              <a:extLst>
                <a:ext uri="{FF2B5EF4-FFF2-40B4-BE49-F238E27FC236}">
                  <a16:creationId xmlns:a16="http://schemas.microsoft.com/office/drawing/2014/main" id="{B80C5739-E888-4802-A818-2162CA4340B5}"/>
                </a:ext>
              </a:extLst>
            </xdr:cNvPr>
            <xdr:cNvSpPr txBox="1"/>
          </xdr:nvSpPr>
          <xdr:spPr>
            <a:xfrm>
              <a:off x="266700" y="3709987"/>
              <a:ext cx="8104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spAutoFit/>
            </a:bodyPr>
            <a:lstStyle/>
            <a:p>
              <a:pPr/>
              <a:r>
                <a:rPr lang="en-US" sz="1100" b="0" i="0">
                  <a:latin typeface="Cambria Math" panose="02040503050406030204" pitchFamily="18" charset="0"/>
                </a:rPr>
                <a:t>𝑖</a:t>
              </a:r>
              <a:endParaRPr lang="en-US" sz="1100"/>
            </a:p>
          </xdr:txBody>
        </xdr:sp>
      </mc:Fallback>
    </mc:AlternateContent>
    <xdr:clientData/>
  </xdr:oneCellAnchor>
  <xdr:oneCellAnchor>
    <xdr:from>
      <xdr:col>1</xdr:col>
      <xdr:colOff>1352550</xdr:colOff>
      <xdr:row>16</xdr:row>
      <xdr:rowOff>133350</xdr:rowOff>
    </xdr:from>
    <xdr:ext cx="339901" cy="316882"/>
    <mc:AlternateContent xmlns:mc="http://schemas.openxmlformats.org/markup-compatibility/2006" xmlns:a14="http://schemas.microsoft.com/office/drawing/2010/main">
      <mc:Choice Requires="a14">
        <xdr:sp macro="" textlink="">
          <xdr:nvSpPr>
            <xdr:cNvPr id="18" name="TextBox 17">
              <a:extLst>
                <a:ext uri="{FF2B5EF4-FFF2-40B4-BE49-F238E27FC236}">
                  <a16:creationId xmlns:a16="http://schemas.microsoft.com/office/drawing/2014/main" id="{00000000-0008-0000-0A00-000012000000}"/>
                </a:ext>
              </a:extLst>
            </xdr:cNvPr>
            <xdr:cNvSpPr txBox="1"/>
          </xdr:nvSpPr>
          <xdr:spPr>
            <a:xfrm>
              <a:off x="1962150" y="3114675"/>
              <a:ext cx="339901" cy="3168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1100" b="0" i="1">
                            <a:latin typeface="Cambria Math" panose="02040503050406030204" pitchFamily="18" charset="0"/>
                          </a:rPr>
                        </m:ctrlPr>
                      </m:fPr>
                      <m:num>
                        <m:r>
                          <m:rPr>
                            <m:sty m:val="p"/>
                          </m:rPr>
                          <a:rPr lang="en-US" sz="1100" b="0" i="0">
                            <a:latin typeface="Cambria Math" panose="02040503050406030204" pitchFamily="18" charset="0"/>
                          </a:rPr>
                          <m:t>Δ</m:t>
                        </m:r>
                        <m:r>
                          <a:rPr lang="en-US" sz="1100" b="0" i="1">
                            <a:latin typeface="Cambria Math" panose="02040503050406030204" pitchFamily="18" charset="0"/>
                          </a:rPr>
                          <m:t>𝑥</m:t>
                        </m:r>
                      </m:num>
                      <m:den>
                        <m:r>
                          <a:rPr lang="en-US" sz="1100" b="0" i="1">
                            <a:latin typeface="Cambria Math" panose="02040503050406030204" pitchFamily="18" charset="0"/>
                          </a:rPr>
                          <m:t>2</m:t>
                        </m:r>
                      </m:den>
                    </m:f>
                    <m:r>
                      <a:rPr lang="en-US" sz="1100" b="0" i="1">
                        <a:latin typeface="Cambria Math" panose="02040503050406030204" pitchFamily="18" charset="0"/>
                      </a:rPr>
                      <m:t>=</m:t>
                    </m:r>
                  </m:oMath>
                </m:oMathPara>
              </a14:m>
              <a:endParaRPr lang="en-US" sz="1100"/>
            </a:p>
          </xdr:txBody>
        </xdr:sp>
      </mc:Choice>
      <mc:Fallback xmlns="">
        <xdr:sp macro="" textlink="">
          <xdr:nvSpPr>
            <xdr:cNvPr id="18" name="TextBox 17">
              <a:extLst>
                <a:ext uri="{FF2B5EF4-FFF2-40B4-BE49-F238E27FC236}">
                  <a16:creationId xmlns:a16="http://schemas.microsoft.com/office/drawing/2014/main" id="{4E85ADEB-4DC7-4327-89F5-0DCFF747FC0E}"/>
                </a:ext>
              </a:extLst>
            </xdr:cNvPr>
            <xdr:cNvSpPr txBox="1"/>
          </xdr:nvSpPr>
          <xdr:spPr>
            <a:xfrm>
              <a:off x="1962150" y="3114675"/>
              <a:ext cx="339901" cy="3168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Δ𝑥/2=</a:t>
              </a:r>
              <a:endParaRPr lang="en-US" sz="1100"/>
            </a:p>
          </xdr:txBody>
        </xdr:sp>
      </mc:Fallback>
    </mc:AlternateContent>
    <xdr:clientData/>
  </xdr:oneCellAnchor>
  <xdr:oneCellAnchor>
    <xdr:from>
      <xdr:col>2</xdr:col>
      <xdr:colOff>123825</xdr:colOff>
      <xdr:row>19</xdr:row>
      <xdr:rowOff>42862</xdr:rowOff>
    </xdr:from>
    <xdr:ext cx="688971" cy="172227"/>
    <mc:AlternateContent xmlns:mc="http://schemas.openxmlformats.org/markup-compatibility/2006" xmlns:a14="http://schemas.microsoft.com/office/drawing/2010/main">
      <mc:Choice Requires="a14">
        <xdr:sp macro="" textlink="">
          <xdr:nvSpPr>
            <xdr:cNvPr id="19" name="TextBox 18">
              <a:extLst>
                <a:ext uri="{FF2B5EF4-FFF2-40B4-BE49-F238E27FC236}">
                  <a16:creationId xmlns:a16="http://schemas.microsoft.com/office/drawing/2014/main" id="{00000000-0008-0000-0A00-000013000000}"/>
                </a:ext>
              </a:extLst>
            </xdr:cNvPr>
            <xdr:cNvSpPr txBox="1"/>
          </xdr:nvSpPr>
          <xdr:spPr>
            <a:xfrm>
              <a:off x="2609850" y="3738562"/>
              <a:ext cx="68897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𝑓</m:t>
                    </m:r>
                    <m:r>
                      <a:rPr lang="en-US" sz="1100" b="0" i="1">
                        <a:latin typeface="Cambria Math" panose="02040503050406030204" pitchFamily="18" charset="0"/>
                      </a:rPr>
                      <m:t>(</m:t>
                    </m:r>
                    <m:r>
                      <a:rPr lang="en-US" sz="1100" b="0" i="1">
                        <a:latin typeface="Cambria Math" panose="02040503050406030204" pitchFamily="18" charset="0"/>
                      </a:rPr>
                      <m:t>𝑎</m:t>
                    </m:r>
                    <m:r>
                      <a:rPr lang="en-US" sz="1100" b="0" i="1">
                        <a:latin typeface="Cambria Math" panose="02040503050406030204" pitchFamily="18" charset="0"/>
                      </a:rPr>
                      <m:t>+</m:t>
                    </m:r>
                    <m:r>
                      <a:rPr lang="en-US" sz="1100" b="0" i="1">
                        <a:latin typeface="Cambria Math" panose="02040503050406030204" pitchFamily="18" charset="0"/>
                      </a:rPr>
                      <m:t>𝑖</m:t>
                    </m:r>
                    <m:r>
                      <m:rPr>
                        <m:sty m:val="p"/>
                      </m:rPr>
                      <a:rPr lang="en-US" sz="1100" b="0" i="0">
                        <a:latin typeface="Cambria Math" panose="02040503050406030204" pitchFamily="18" charset="0"/>
                      </a:rPr>
                      <m:t>Δ</m:t>
                    </m:r>
                    <m:r>
                      <a:rPr lang="en-US" sz="1100" b="0" i="1">
                        <a:latin typeface="Cambria Math" panose="02040503050406030204" pitchFamily="18" charset="0"/>
                      </a:rPr>
                      <m:t>𝑥</m:t>
                    </m:r>
                    <m:r>
                      <a:rPr lang="en-US" sz="1100" b="0" i="1">
                        <a:latin typeface="Cambria Math" panose="02040503050406030204" pitchFamily="18" charset="0"/>
                      </a:rPr>
                      <m:t>)</m:t>
                    </m:r>
                  </m:oMath>
                </m:oMathPara>
              </a14:m>
              <a:endParaRPr lang="en-US" sz="1100"/>
            </a:p>
          </xdr:txBody>
        </xdr:sp>
      </mc:Choice>
      <mc:Fallback xmlns="">
        <xdr:sp macro="" textlink="">
          <xdr:nvSpPr>
            <xdr:cNvPr id="19" name="TextBox 18">
              <a:extLst>
                <a:ext uri="{FF2B5EF4-FFF2-40B4-BE49-F238E27FC236}">
                  <a16:creationId xmlns:a16="http://schemas.microsoft.com/office/drawing/2014/main" id="{3899BD02-85F1-4DB2-B152-8B8A08AE9264}"/>
                </a:ext>
              </a:extLst>
            </xdr:cNvPr>
            <xdr:cNvSpPr txBox="1"/>
          </xdr:nvSpPr>
          <xdr:spPr>
            <a:xfrm>
              <a:off x="2609850" y="3738562"/>
              <a:ext cx="68897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𝑓(𝑎+𝑖Δ𝑥)</a:t>
              </a:r>
              <a:endParaRPr lang="en-US" sz="1100"/>
            </a:p>
          </xdr:txBody>
        </xdr:sp>
      </mc:Fallback>
    </mc:AlternateContent>
    <xdr:clientData/>
  </xdr:oneCellAnchor>
  <xdr:oneCellAnchor>
    <xdr:from>
      <xdr:col>4</xdr:col>
      <xdr:colOff>66675</xdr:colOff>
      <xdr:row>19</xdr:row>
      <xdr:rowOff>28575</xdr:rowOff>
    </xdr:from>
    <xdr:ext cx="1213537" cy="172227"/>
    <mc:AlternateContent xmlns:mc="http://schemas.openxmlformats.org/markup-compatibility/2006" xmlns:a14="http://schemas.microsoft.com/office/drawing/2010/main">
      <mc:Choice Requires="a14">
        <xdr:sp macro="" textlink="">
          <xdr:nvSpPr>
            <xdr:cNvPr id="20" name="TextBox 19">
              <a:extLst>
                <a:ext uri="{FF2B5EF4-FFF2-40B4-BE49-F238E27FC236}">
                  <a16:creationId xmlns:a16="http://schemas.microsoft.com/office/drawing/2014/main" id="{00000000-0008-0000-0A00-000014000000}"/>
                </a:ext>
              </a:extLst>
            </xdr:cNvPr>
            <xdr:cNvSpPr txBox="1"/>
          </xdr:nvSpPr>
          <xdr:spPr>
            <a:xfrm>
              <a:off x="5715000" y="3724275"/>
              <a:ext cx="121353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𝑓𝑎𝑐𝑡𝑜𝑟</m:t>
                    </m:r>
                    <m:r>
                      <a:rPr lang="en-US" sz="1100" b="0" i="1">
                        <a:latin typeface="Cambria Math" panose="02040503050406030204" pitchFamily="18" charset="0"/>
                      </a:rPr>
                      <m:t>⋅</m:t>
                    </m:r>
                    <m:r>
                      <a:rPr lang="en-US" sz="1100" b="0" i="1">
                        <a:latin typeface="Cambria Math" panose="02040503050406030204" pitchFamily="18" charset="0"/>
                      </a:rPr>
                      <m:t>𝑓</m:t>
                    </m:r>
                    <m:r>
                      <a:rPr lang="en-US" sz="1100" b="0" i="1">
                        <a:latin typeface="Cambria Math" panose="02040503050406030204" pitchFamily="18" charset="0"/>
                      </a:rPr>
                      <m:t>(</m:t>
                    </m:r>
                    <m:r>
                      <a:rPr lang="en-US" sz="1100" b="0" i="1">
                        <a:latin typeface="Cambria Math" panose="02040503050406030204" pitchFamily="18" charset="0"/>
                      </a:rPr>
                      <m:t>𝑎</m:t>
                    </m:r>
                    <m:r>
                      <a:rPr lang="en-US" sz="1100" b="0" i="1">
                        <a:latin typeface="Cambria Math" panose="02040503050406030204" pitchFamily="18" charset="0"/>
                      </a:rPr>
                      <m:t>+</m:t>
                    </m:r>
                    <m:r>
                      <a:rPr lang="en-US" sz="1100" b="0" i="1">
                        <a:latin typeface="Cambria Math" panose="02040503050406030204" pitchFamily="18" charset="0"/>
                      </a:rPr>
                      <m:t>𝑖</m:t>
                    </m:r>
                    <m:r>
                      <m:rPr>
                        <m:sty m:val="p"/>
                      </m:rPr>
                      <a:rPr lang="en-US" sz="1100" b="0" i="0">
                        <a:latin typeface="Cambria Math" panose="02040503050406030204" pitchFamily="18" charset="0"/>
                      </a:rPr>
                      <m:t>Δ</m:t>
                    </m:r>
                    <m:r>
                      <a:rPr lang="en-US" sz="1100" b="0" i="1">
                        <a:latin typeface="Cambria Math" panose="02040503050406030204" pitchFamily="18" charset="0"/>
                      </a:rPr>
                      <m:t>𝑥</m:t>
                    </m:r>
                    <m:r>
                      <a:rPr lang="en-US" sz="1100" b="0" i="1">
                        <a:latin typeface="Cambria Math" panose="02040503050406030204" pitchFamily="18" charset="0"/>
                      </a:rPr>
                      <m:t>)</m:t>
                    </m:r>
                  </m:oMath>
                </m:oMathPara>
              </a14:m>
              <a:endParaRPr lang="en-US" sz="1100"/>
            </a:p>
          </xdr:txBody>
        </xdr:sp>
      </mc:Choice>
      <mc:Fallback xmlns="">
        <xdr:sp macro="" textlink="">
          <xdr:nvSpPr>
            <xdr:cNvPr id="20" name="TextBox 19">
              <a:extLst>
                <a:ext uri="{FF2B5EF4-FFF2-40B4-BE49-F238E27FC236}">
                  <a16:creationId xmlns:a16="http://schemas.microsoft.com/office/drawing/2014/main" id="{44DA7188-9FBA-42A5-8C95-98A090477BAB}"/>
                </a:ext>
              </a:extLst>
            </xdr:cNvPr>
            <xdr:cNvSpPr txBox="1"/>
          </xdr:nvSpPr>
          <xdr:spPr>
            <a:xfrm>
              <a:off x="5715000" y="3724275"/>
              <a:ext cx="121353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𝑓𝑎𝑐𝑡𝑜𝑟⋅𝑓(𝑎+𝑖Δ𝑥)</a:t>
              </a:r>
              <a:endParaRPr lang="en-US" sz="1100"/>
            </a:p>
          </xdr:txBody>
        </xdr:sp>
      </mc:Fallback>
    </mc:AlternateContent>
    <xdr:clientData/>
  </xdr:oneCellAnchor>
  <xdr:oneCellAnchor>
    <xdr:from>
      <xdr:col>3</xdr:col>
      <xdr:colOff>85725</xdr:colOff>
      <xdr:row>37</xdr:row>
      <xdr:rowOff>19050</xdr:rowOff>
    </xdr:from>
    <xdr:ext cx="1782476" cy="172227"/>
    <mc:AlternateContent xmlns:mc="http://schemas.openxmlformats.org/markup-compatibility/2006" xmlns:a14="http://schemas.microsoft.com/office/drawing/2010/main">
      <mc:Choice Requires="a14">
        <xdr:sp macro="" textlink="">
          <xdr:nvSpPr>
            <xdr:cNvPr id="21" name="TextBox 20">
              <a:extLst>
                <a:ext uri="{FF2B5EF4-FFF2-40B4-BE49-F238E27FC236}">
                  <a16:creationId xmlns:a16="http://schemas.microsoft.com/office/drawing/2014/main" id="{00000000-0008-0000-0A00-000015000000}"/>
                </a:ext>
              </a:extLst>
            </xdr:cNvPr>
            <xdr:cNvSpPr txBox="1"/>
          </xdr:nvSpPr>
          <xdr:spPr>
            <a:xfrm>
              <a:off x="3781425" y="6962775"/>
              <a:ext cx="178247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𝑆𝑢𝑚</m:t>
                    </m:r>
                    <m:r>
                      <a:rPr lang="en-US" sz="1100" b="0" i="1">
                        <a:latin typeface="Cambria Math" panose="02040503050406030204" pitchFamily="18" charset="0"/>
                      </a:rPr>
                      <m:t> (</m:t>
                    </m:r>
                    <m:r>
                      <a:rPr lang="en-US" sz="1100" b="0" i="1">
                        <a:latin typeface="Cambria Math" panose="02040503050406030204" pitchFamily="18" charset="0"/>
                      </a:rPr>
                      <m:t>𝑓𝑎𝑐𝑡𝑜𝑟</m:t>
                    </m:r>
                    <m:r>
                      <a:rPr lang="en-US" sz="1100" b="0" i="1">
                        <a:latin typeface="Cambria Math" panose="02040503050406030204" pitchFamily="18" charset="0"/>
                      </a:rPr>
                      <m:t>⋅</m:t>
                    </m:r>
                    <m:r>
                      <a:rPr lang="en-US" sz="1100" b="0" i="1">
                        <a:latin typeface="Cambria Math" panose="02040503050406030204" pitchFamily="18" charset="0"/>
                      </a:rPr>
                      <m:t>𝑓</m:t>
                    </m:r>
                    <m:d>
                      <m:dPr>
                        <m:ctrlPr>
                          <a:rPr lang="en-US" sz="1100" b="0" i="1">
                            <a:latin typeface="Cambria Math" panose="02040503050406030204" pitchFamily="18" charset="0"/>
                          </a:rPr>
                        </m:ctrlPr>
                      </m:dPr>
                      <m:e>
                        <m:r>
                          <a:rPr lang="en-US" sz="1100" b="0" i="1">
                            <a:latin typeface="Cambria Math" panose="02040503050406030204" pitchFamily="18" charset="0"/>
                          </a:rPr>
                          <m:t>𝑎</m:t>
                        </m:r>
                        <m:r>
                          <a:rPr lang="en-US" sz="1100" b="0" i="1">
                            <a:latin typeface="Cambria Math" panose="02040503050406030204" pitchFamily="18" charset="0"/>
                          </a:rPr>
                          <m:t>+</m:t>
                        </m:r>
                        <m:r>
                          <a:rPr lang="en-US" sz="1100" b="0" i="1">
                            <a:latin typeface="Cambria Math" panose="02040503050406030204" pitchFamily="18" charset="0"/>
                          </a:rPr>
                          <m:t>𝑖</m:t>
                        </m:r>
                        <m:r>
                          <m:rPr>
                            <m:sty m:val="p"/>
                          </m:rPr>
                          <a:rPr lang="en-US" sz="1100" b="0" i="0">
                            <a:latin typeface="Cambria Math" panose="02040503050406030204" pitchFamily="18" charset="0"/>
                          </a:rPr>
                          <m:t>Δ</m:t>
                        </m:r>
                        <m:r>
                          <a:rPr lang="en-US" sz="1100" b="0" i="1">
                            <a:latin typeface="Cambria Math" panose="02040503050406030204" pitchFamily="18" charset="0"/>
                          </a:rPr>
                          <m:t>𝑥</m:t>
                        </m:r>
                      </m:e>
                    </m:d>
                    <m:r>
                      <a:rPr lang="en-US" sz="1100" b="0" i="1">
                        <a:latin typeface="Cambria Math" panose="02040503050406030204" pitchFamily="18" charset="0"/>
                      </a:rPr>
                      <m:t>)=</m:t>
                    </m:r>
                  </m:oMath>
                </m:oMathPara>
              </a14:m>
              <a:endParaRPr lang="en-US" sz="1100"/>
            </a:p>
          </xdr:txBody>
        </xdr:sp>
      </mc:Choice>
      <mc:Fallback xmlns="">
        <xdr:sp macro="" textlink="">
          <xdr:nvSpPr>
            <xdr:cNvPr id="21" name="TextBox 20">
              <a:extLst>
                <a:ext uri="{FF2B5EF4-FFF2-40B4-BE49-F238E27FC236}">
                  <a16:creationId xmlns:a16="http://schemas.microsoft.com/office/drawing/2014/main" id="{A1F6F692-4CE4-447B-B7CE-D9437B8A8646}"/>
                </a:ext>
              </a:extLst>
            </xdr:cNvPr>
            <xdr:cNvSpPr txBox="1"/>
          </xdr:nvSpPr>
          <xdr:spPr>
            <a:xfrm>
              <a:off x="3781425" y="6962775"/>
              <a:ext cx="178247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𝑆𝑢𝑚 (𝑓𝑎𝑐𝑡𝑜𝑟⋅𝑓(𝑎+𝑖Δ𝑥))=</a:t>
              </a:r>
              <a:endParaRPr lang="en-US" sz="1100"/>
            </a:p>
          </xdr:txBody>
        </xdr:sp>
      </mc:Fallback>
    </mc:AlternateContent>
    <xdr:clientData/>
  </xdr:oneCellAnchor>
  <xdr:oneCellAnchor>
    <xdr:from>
      <xdr:col>5</xdr:col>
      <xdr:colOff>66675</xdr:colOff>
      <xdr:row>19</xdr:row>
      <xdr:rowOff>52387</xdr:rowOff>
    </xdr:from>
    <xdr:ext cx="1882438" cy="316882"/>
    <mc:AlternateContent xmlns:mc="http://schemas.openxmlformats.org/markup-compatibility/2006" xmlns:a14="http://schemas.microsoft.com/office/drawing/2010/main">
      <mc:Choice Requires="a14">
        <xdr:sp macro="" textlink="">
          <xdr:nvSpPr>
            <xdr:cNvPr id="22" name="TextBox 21">
              <a:extLst>
                <a:ext uri="{FF2B5EF4-FFF2-40B4-BE49-F238E27FC236}">
                  <a16:creationId xmlns:a16="http://schemas.microsoft.com/office/drawing/2014/main" id="{00000000-0008-0000-0A00-000016000000}"/>
                </a:ext>
              </a:extLst>
            </xdr:cNvPr>
            <xdr:cNvSpPr txBox="1"/>
          </xdr:nvSpPr>
          <xdr:spPr>
            <a:xfrm>
              <a:off x="7086600" y="3748087"/>
              <a:ext cx="1882438" cy="3168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𝑆𝑢𝑚</m:t>
                    </m:r>
                    <m:d>
                      <m:dPr>
                        <m:ctrlPr>
                          <a:rPr lang="en-US" sz="1100" b="0" i="1">
                            <a:latin typeface="Cambria Math" panose="02040503050406030204" pitchFamily="18" charset="0"/>
                          </a:rPr>
                        </m:ctrlPr>
                      </m:dPr>
                      <m:e>
                        <m:r>
                          <a:rPr lang="en-US" sz="1100" b="0" i="1">
                            <a:latin typeface="Cambria Math" panose="02040503050406030204" pitchFamily="18" charset="0"/>
                          </a:rPr>
                          <m:t>𝑓𝑎𝑐𝑡𝑜𝑟</m:t>
                        </m:r>
                        <m:r>
                          <a:rPr lang="en-US" sz="1100" b="0" i="1">
                            <a:latin typeface="Cambria Math" panose="02040503050406030204" pitchFamily="18" charset="0"/>
                          </a:rPr>
                          <m:t>⋅</m:t>
                        </m:r>
                        <m:r>
                          <a:rPr lang="en-US" sz="1100" b="0" i="1">
                            <a:latin typeface="Cambria Math" panose="02040503050406030204" pitchFamily="18" charset="0"/>
                          </a:rPr>
                          <m:t>𝑓</m:t>
                        </m:r>
                        <m:d>
                          <m:dPr>
                            <m:ctrlPr>
                              <a:rPr lang="en-US" sz="1100" b="0" i="1">
                                <a:latin typeface="Cambria Math" panose="02040503050406030204" pitchFamily="18" charset="0"/>
                              </a:rPr>
                            </m:ctrlPr>
                          </m:dPr>
                          <m:e>
                            <m:r>
                              <a:rPr lang="en-US" sz="1100" b="0" i="1">
                                <a:latin typeface="Cambria Math" panose="02040503050406030204" pitchFamily="18" charset="0"/>
                              </a:rPr>
                              <m:t>𝑎</m:t>
                            </m:r>
                            <m:r>
                              <a:rPr lang="en-US" sz="1100" b="0" i="1">
                                <a:latin typeface="Cambria Math" panose="02040503050406030204" pitchFamily="18" charset="0"/>
                              </a:rPr>
                              <m:t>+</m:t>
                            </m:r>
                            <m:r>
                              <a:rPr lang="en-US" sz="1100" b="0" i="1">
                                <a:latin typeface="Cambria Math" panose="02040503050406030204" pitchFamily="18" charset="0"/>
                              </a:rPr>
                              <m:t>𝑖</m:t>
                            </m:r>
                            <m:r>
                              <m:rPr>
                                <m:sty m:val="p"/>
                              </m:rPr>
                              <a:rPr lang="en-US" sz="1100" b="0" i="0">
                                <a:latin typeface="Cambria Math" panose="02040503050406030204" pitchFamily="18" charset="0"/>
                              </a:rPr>
                              <m:t>Δ</m:t>
                            </m:r>
                            <m:r>
                              <a:rPr lang="en-US" sz="1100" b="0" i="1">
                                <a:latin typeface="Cambria Math" panose="02040503050406030204" pitchFamily="18" charset="0"/>
                              </a:rPr>
                              <m:t>𝑥</m:t>
                            </m:r>
                          </m:e>
                        </m:d>
                      </m:e>
                    </m:d>
                    <m:r>
                      <a:rPr lang="en-US" sz="1100" b="0" i="1">
                        <a:latin typeface="Cambria Math" panose="02040503050406030204" pitchFamily="18" charset="0"/>
                      </a:rPr>
                      <m:t>⋅</m:t>
                    </m:r>
                    <m:f>
                      <m:fPr>
                        <m:ctrlPr>
                          <a:rPr lang="en-US" sz="1100" b="0" i="1">
                            <a:latin typeface="Cambria Math" panose="02040503050406030204" pitchFamily="18" charset="0"/>
                          </a:rPr>
                        </m:ctrlPr>
                      </m:fPr>
                      <m:num>
                        <m:r>
                          <m:rPr>
                            <m:sty m:val="p"/>
                          </m:rPr>
                          <a:rPr lang="en-US" sz="1100" b="0" i="0">
                            <a:latin typeface="Cambria Math" panose="02040503050406030204" pitchFamily="18" charset="0"/>
                          </a:rPr>
                          <m:t>Δ</m:t>
                        </m:r>
                        <m:r>
                          <a:rPr lang="en-US" sz="1100" b="0" i="1">
                            <a:latin typeface="Cambria Math" panose="02040503050406030204" pitchFamily="18" charset="0"/>
                          </a:rPr>
                          <m:t>𝑥</m:t>
                        </m:r>
                      </m:num>
                      <m:den>
                        <m:r>
                          <a:rPr lang="en-US" sz="1100" b="0" i="1">
                            <a:latin typeface="Cambria Math" panose="02040503050406030204" pitchFamily="18" charset="0"/>
                          </a:rPr>
                          <m:t>2</m:t>
                        </m:r>
                      </m:den>
                    </m:f>
                  </m:oMath>
                </m:oMathPara>
              </a14:m>
              <a:endParaRPr lang="en-US" sz="1100"/>
            </a:p>
          </xdr:txBody>
        </xdr:sp>
      </mc:Choice>
      <mc:Fallback xmlns="">
        <xdr:sp macro="" textlink="">
          <xdr:nvSpPr>
            <xdr:cNvPr id="22" name="TextBox 21">
              <a:extLst>
                <a:ext uri="{FF2B5EF4-FFF2-40B4-BE49-F238E27FC236}">
                  <a16:creationId xmlns:a16="http://schemas.microsoft.com/office/drawing/2014/main" id="{92AD38DA-111E-4D09-996E-55636E2140D4}"/>
                </a:ext>
              </a:extLst>
            </xdr:cNvPr>
            <xdr:cNvSpPr txBox="1"/>
          </xdr:nvSpPr>
          <xdr:spPr>
            <a:xfrm>
              <a:off x="7086600" y="3748087"/>
              <a:ext cx="1882438" cy="3168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𝑆𝑢𝑚(𝑓𝑎𝑐𝑡𝑜𝑟⋅𝑓(𝑎+𝑖Δ𝑥))⋅Δ𝑥/2</a:t>
              </a:r>
              <a:endParaRPr lang="en-US" sz="1100"/>
            </a:p>
          </xdr:txBody>
        </xdr:sp>
      </mc:Fallback>
    </mc:AlternateContent>
    <xdr:clientData/>
  </xdr:oneCellAnchor>
  <xdr:twoCellAnchor>
    <xdr:from>
      <xdr:col>1</xdr:col>
      <xdr:colOff>133350</xdr:colOff>
      <xdr:row>9</xdr:row>
      <xdr:rowOff>85725</xdr:rowOff>
    </xdr:from>
    <xdr:to>
      <xdr:col>4</xdr:col>
      <xdr:colOff>885825</xdr:colOff>
      <xdr:row>9</xdr:row>
      <xdr:rowOff>514350</xdr:rowOff>
    </xdr:to>
    <xdr:pic>
      <xdr:nvPicPr>
        <xdr:cNvPr id="23" name="Picture 22">
          <a:extLst>
            <a:ext uri="{FF2B5EF4-FFF2-40B4-BE49-F238E27FC236}">
              <a16:creationId xmlns:a16="http://schemas.microsoft.com/office/drawing/2014/main" id="{00000000-0008-0000-0A00-000017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42950" y="3133725"/>
          <a:ext cx="5791200"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352425</xdr:colOff>
      <xdr:row>2</xdr:row>
      <xdr:rowOff>100012</xdr:rowOff>
    </xdr:from>
    <xdr:ext cx="1015227" cy="484363"/>
    <mc:AlternateContent xmlns:mc="http://schemas.openxmlformats.org/markup-compatibility/2006" xmlns:a14="http://schemas.microsoft.com/office/drawing/2010/main">
      <mc:Choice Requires="a14">
        <xdr:sp macro="" textlink="">
          <xdr:nvSpPr>
            <xdr:cNvPr id="24" name="TextBox 23">
              <a:extLst>
                <a:ext uri="{FF2B5EF4-FFF2-40B4-BE49-F238E27FC236}">
                  <a16:creationId xmlns:a16="http://schemas.microsoft.com/office/drawing/2014/main" id="{00000000-0008-0000-0A00-000018000000}"/>
                </a:ext>
              </a:extLst>
            </xdr:cNvPr>
            <xdr:cNvSpPr txBox="1"/>
          </xdr:nvSpPr>
          <xdr:spPr>
            <a:xfrm>
              <a:off x="962025" y="481012"/>
              <a:ext cx="1015227" cy="4843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1400" b="0" i="1">
                            <a:latin typeface="Cambria Math" panose="02040503050406030204" pitchFamily="18" charset="0"/>
                          </a:rPr>
                        </m:ctrlPr>
                      </m:fPr>
                      <m:num>
                        <m:r>
                          <a:rPr lang="en-US" sz="1400" b="0" i="1">
                            <a:latin typeface="Cambria Math" panose="02040503050406030204" pitchFamily="18" charset="0"/>
                          </a:rPr>
                          <m:t>2</m:t>
                        </m:r>
                      </m:num>
                      <m:den>
                        <m:r>
                          <a:rPr lang="en-US" sz="1400" b="0" i="1">
                            <a:latin typeface="Cambria Math" panose="02040503050406030204" pitchFamily="18" charset="0"/>
                          </a:rPr>
                          <m:t>𝜋</m:t>
                        </m:r>
                      </m:den>
                    </m:f>
                    <m:nary>
                      <m:naryPr>
                        <m:ctrlPr>
                          <a:rPr lang="en-US" sz="1400" b="0" i="1">
                            <a:latin typeface="Cambria Math" panose="02040503050406030204" pitchFamily="18" charset="0"/>
                          </a:rPr>
                        </m:ctrlPr>
                      </m:naryPr>
                      <m:sub>
                        <m:r>
                          <a:rPr lang="en-US" sz="1400" b="0" i="1">
                            <a:latin typeface="Cambria Math" panose="02040503050406030204" pitchFamily="18" charset="0"/>
                          </a:rPr>
                          <m:t>0</m:t>
                        </m:r>
                      </m:sub>
                      <m:sup>
                        <m:r>
                          <a:rPr lang="en-US" sz="1400" b="0" i="1">
                            <a:latin typeface="Cambria Math" panose="02040503050406030204" pitchFamily="18" charset="0"/>
                          </a:rPr>
                          <m:t>0.8</m:t>
                        </m:r>
                      </m:sup>
                      <m:e>
                        <m:sSup>
                          <m:sSupPr>
                            <m:ctrlPr>
                              <a:rPr lang="en-US" sz="1400" b="0" i="1">
                                <a:latin typeface="Cambria Math" panose="02040503050406030204" pitchFamily="18" charset="0"/>
                              </a:rPr>
                            </m:ctrlPr>
                          </m:sSupPr>
                          <m:e>
                            <m:r>
                              <a:rPr lang="en-US" sz="1400" b="0" i="1">
                                <a:latin typeface="Cambria Math" panose="02040503050406030204" pitchFamily="18" charset="0"/>
                              </a:rPr>
                              <m:t>𝑒</m:t>
                            </m:r>
                          </m:e>
                          <m:sup>
                            <m:r>
                              <a:rPr lang="en-US" sz="1400" b="0" i="1">
                                <a:latin typeface="Cambria Math" panose="02040503050406030204" pitchFamily="18" charset="0"/>
                              </a:rPr>
                              <m:t>−</m:t>
                            </m:r>
                            <m:f>
                              <m:fPr>
                                <m:ctrlPr>
                                  <a:rPr lang="en-US" sz="1400" b="0" i="1">
                                    <a:latin typeface="Cambria Math" panose="02040503050406030204" pitchFamily="18" charset="0"/>
                                  </a:rPr>
                                </m:ctrlPr>
                              </m:fPr>
                              <m:num>
                                <m:sSup>
                                  <m:sSupPr>
                                    <m:ctrlPr>
                                      <a:rPr lang="en-US" sz="1400" b="0" i="1">
                                        <a:latin typeface="Cambria Math" panose="02040503050406030204" pitchFamily="18" charset="0"/>
                                      </a:rPr>
                                    </m:ctrlPr>
                                  </m:sSupPr>
                                  <m:e>
                                    <m:r>
                                      <a:rPr lang="en-US" sz="1400" b="0" i="1">
                                        <a:latin typeface="Cambria Math" panose="02040503050406030204" pitchFamily="18" charset="0"/>
                                      </a:rPr>
                                      <m:t>𝑡</m:t>
                                    </m:r>
                                  </m:e>
                                  <m:sup>
                                    <m:r>
                                      <a:rPr lang="en-US" sz="1400" b="0" i="1">
                                        <a:latin typeface="Cambria Math" panose="02040503050406030204" pitchFamily="18" charset="0"/>
                                      </a:rPr>
                                      <m:t>2</m:t>
                                    </m:r>
                                  </m:sup>
                                </m:sSup>
                              </m:num>
                              <m:den>
                                <m:r>
                                  <a:rPr lang="en-US" sz="1400" b="0" i="1">
                                    <a:latin typeface="Cambria Math" panose="02040503050406030204" pitchFamily="18" charset="0"/>
                                  </a:rPr>
                                  <m:t>2</m:t>
                                </m:r>
                              </m:den>
                            </m:f>
                          </m:sup>
                        </m:sSup>
                      </m:e>
                    </m:nary>
                    <m:r>
                      <a:rPr lang="en-US" sz="1400" b="0" i="1">
                        <a:latin typeface="Cambria Math" panose="02040503050406030204" pitchFamily="18" charset="0"/>
                      </a:rPr>
                      <m:t>𝑑𝑡</m:t>
                    </m:r>
                  </m:oMath>
                </m:oMathPara>
              </a14:m>
              <a:endParaRPr lang="en-US" sz="1400"/>
            </a:p>
          </xdr:txBody>
        </xdr:sp>
      </mc:Choice>
      <mc:Fallback xmlns="">
        <xdr:sp macro="" textlink="">
          <xdr:nvSpPr>
            <xdr:cNvPr id="24" name="TextBox 23">
              <a:extLst>
                <a:ext uri="{FF2B5EF4-FFF2-40B4-BE49-F238E27FC236}">
                  <a16:creationId xmlns:a16="http://schemas.microsoft.com/office/drawing/2014/main" id="{2F3C6AA9-7E6F-4AA9-94DB-B6B2E827CC8C}"/>
                </a:ext>
              </a:extLst>
            </xdr:cNvPr>
            <xdr:cNvSpPr txBox="1"/>
          </xdr:nvSpPr>
          <xdr:spPr>
            <a:xfrm>
              <a:off x="962025" y="481012"/>
              <a:ext cx="1015227" cy="4843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n-US" sz="1400" b="0" i="0">
                  <a:latin typeface="Cambria Math" panose="02040503050406030204" pitchFamily="18" charset="0"/>
                </a:rPr>
                <a:t>2/𝜋 ∫24_0^0.8▒𝑒^(−𝑡^2/2)  𝑑𝑡</a:t>
              </a:r>
              <a:endParaRPr lang="en-US" sz="1400"/>
            </a:p>
          </xdr:txBody>
        </xdr:sp>
      </mc:Fallback>
    </mc:AlternateContent>
    <xdr:clientData/>
  </xdr:oneCellAnchor>
  <xdr:oneCellAnchor>
    <xdr:from>
      <xdr:col>1</xdr:col>
      <xdr:colOff>1438275</xdr:colOff>
      <xdr:row>17</xdr:row>
      <xdr:rowOff>90487</xdr:rowOff>
    </xdr:from>
    <xdr:ext cx="263085" cy="317972"/>
    <mc:AlternateContent xmlns:mc="http://schemas.openxmlformats.org/markup-compatibility/2006" xmlns:a14="http://schemas.microsoft.com/office/drawing/2010/main">
      <mc:Choice Requires="a14">
        <xdr:sp macro="" textlink="">
          <xdr:nvSpPr>
            <xdr:cNvPr id="25" name="TextBox 24">
              <a:extLst>
                <a:ext uri="{FF2B5EF4-FFF2-40B4-BE49-F238E27FC236}">
                  <a16:creationId xmlns:a16="http://schemas.microsoft.com/office/drawing/2014/main" id="{00000000-0008-0000-0A00-000019000000}"/>
                </a:ext>
              </a:extLst>
            </xdr:cNvPr>
            <xdr:cNvSpPr txBox="1"/>
          </xdr:nvSpPr>
          <xdr:spPr>
            <a:xfrm>
              <a:off x="2047875" y="5367337"/>
              <a:ext cx="263085"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1100" b="0" i="1">
                            <a:latin typeface="Cambria Math" panose="02040503050406030204" pitchFamily="18" charset="0"/>
                          </a:rPr>
                        </m:ctrlPr>
                      </m:fPr>
                      <m:num>
                        <m:r>
                          <a:rPr lang="en-US" sz="1100" b="0" i="1">
                            <a:latin typeface="Cambria Math" panose="02040503050406030204" pitchFamily="18" charset="0"/>
                          </a:rPr>
                          <m:t>2</m:t>
                        </m:r>
                      </m:num>
                      <m:den>
                        <m:r>
                          <a:rPr lang="en-US" sz="1100" b="0" i="1">
                            <a:latin typeface="Cambria Math" panose="02040503050406030204" pitchFamily="18" charset="0"/>
                          </a:rPr>
                          <m:t>𝜋</m:t>
                        </m:r>
                      </m:den>
                    </m:f>
                    <m:r>
                      <a:rPr lang="en-US" sz="1100" b="0" i="1">
                        <a:latin typeface="Cambria Math" panose="02040503050406030204" pitchFamily="18" charset="0"/>
                      </a:rPr>
                      <m:t>=</m:t>
                    </m:r>
                  </m:oMath>
                </m:oMathPara>
              </a14:m>
              <a:endParaRPr lang="en-US" sz="1100"/>
            </a:p>
          </xdr:txBody>
        </xdr:sp>
      </mc:Choice>
      <mc:Fallback xmlns="">
        <xdr:sp macro="" textlink="">
          <xdr:nvSpPr>
            <xdr:cNvPr id="25" name="TextBox 24">
              <a:extLst>
                <a:ext uri="{FF2B5EF4-FFF2-40B4-BE49-F238E27FC236}">
                  <a16:creationId xmlns:a16="http://schemas.microsoft.com/office/drawing/2014/main" id="{E2BF8168-B9DB-4B40-BB42-ED9E6C595C23}"/>
                </a:ext>
              </a:extLst>
            </xdr:cNvPr>
            <xdr:cNvSpPr txBox="1"/>
          </xdr:nvSpPr>
          <xdr:spPr>
            <a:xfrm>
              <a:off x="2047875" y="5367337"/>
              <a:ext cx="263085" cy="317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2/𝜋=</a:t>
              </a:r>
              <a:endParaRPr lang="en-US" sz="1100"/>
            </a:p>
          </xdr:txBody>
        </xdr:sp>
      </mc:Fallback>
    </mc:AlternateContent>
    <xdr:clientData/>
  </xdr:oneCellAnchor>
  <xdr:oneCellAnchor>
    <xdr:from>
      <xdr:col>1</xdr:col>
      <xdr:colOff>257175</xdr:colOff>
      <xdr:row>39</xdr:row>
      <xdr:rowOff>38100</xdr:rowOff>
    </xdr:from>
    <xdr:ext cx="1562100" cy="484363"/>
    <mc:AlternateContent xmlns:mc="http://schemas.openxmlformats.org/markup-compatibility/2006" xmlns:a14="http://schemas.microsoft.com/office/drawing/2010/main">
      <mc:Choice Requires="a14">
        <xdr:sp macro="" textlink="">
          <xdr:nvSpPr>
            <xdr:cNvPr id="27" name="TextBox 26">
              <a:extLst>
                <a:ext uri="{FF2B5EF4-FFF2-40B4-BE49-F238E27FC236}">
                  <a16:creationId xmlns:a16="http://schemas.microsoft.com/office/drawing/2014/main" id="{00000000-0008-0000-0A00-00001B000000}"/>
                </a:ext>
              </a:extLst>
            </xdr:cNvPr>
            <xdr:cNvSpPr txBox="1"/>
          </xdr:nvSpPr>
          <xdr:spPr>
            <a:xfrm>
              <a:off x="866775" y="8677275"/>
              <a:ext cx="1562100" cy="4843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1400" b="0" i="1">
                            <a:latin typeface="Cambria Math" panose="02040503050406030204" pitchFamily="18" charset="0"/>
                          </a:rPr>
                        </m:ctrlPr>
                      </m:fPr>
                      <m:num>
                        <m:r>
                          <a:rPr lang="en-US" sz="1400" b="0" i="1">
                            <a:latin typeface="Cambria Math" panose="02040503050406030204" pitchFamily="18" charset="0"/>
                          </a:rPr>
                          <m:t>2</m:t>
                        </m:r>
                      </m:num>
                      <m:den>
                        <m:r>
                          <a:rPr lang="en-US" sz="1400" b="0" i="1">
                            <a:latin typeface="Cambria Math" panose="02040503050406030204" pitchFamily="18" charset="0"/>
                          </a:rPr>
                          <m:t>𝜋</m:t>
                        </m:r>
                      </m:den>
                    </m:f>
                    <m:r>
                      <a:rPr lang="en-US" sz="1400" b="0" i="1">
                        <a:latin typeface="Cambria Math" panose="02040503050406030204" pitchFamily="18" charset="0"/>
                      </a:rPr>
                      <m:t>⋅</m:t>
                    </m:r>
                    <m:nary>
                      <m:naryPr>
                        <m:ctrlPr>
                          <a:rPr lang="en-US" sz="1400" b="0" i="1">
                            <a:latin typeface="Cambria Math" panose="02040503050406030204" pitchFamily="18" charset="0"/>
                          </a:rPr>
                        </m:ctrlPr>
                      </m:naryPr>
                      <m:sub>
                        <m:r>
                          <a:rPr lang="en-US" sz="1400" b="0" i="1">
                            <a:latin typeface="Cambria Math" panose="02040503050406030204" pitchFamily="18" charset="0"/>
                          </a:rPr>
                          <m:t>0</m:t>
                        </m:r>
                      </m:sub>
                      <m:sup>
                        <m:r>
                          <a:rPr lang="en-US" sz="1400" b="0" i="1">
                            <a:latin typeface="Cambria Math" panose="02040503050406030204" pitchFamily="18" charset="0"/>
                          </a:rPr>
                          <m:t>0.8</m:t>
                        </m:r>
                      </m:sup>
                      <m:e>
                        <m:sSup>
                          <m:sSupPr>
                            <m:ctrlPr>
                              <a:rPr lang="en-US" sz="1400" b="0" i="1">
                                <a:latin typeface="Cambria Math" panose="02040503050406030204" pitchFamily="18" charset="0"/>
                              </a:rPr>
                            </m:ctrlPr>
                          </m:sSupPr>
                          <m:e>
                            <m:r>
                              <a:rPr lang="en-US" sz="1400" b="0" i="1">
                                <a:latin typeface="Cambria Math" panose="02040503050406030204" pitchFamily="18" charset="0"/>
                              </a:rPr>
                              <m:t>𝑒</m:t>
                            </m:r>
                          </m:e>
                          <m:sup>
                            <m:r>
                              <a:rPr lang="en-US" sz="1400" b="0" i="1">
                                <a:latin typeface="Cambria Math" panose="02040503050406030204" pitchFamily="18" charset="0"/>
                              </a:rPr>
                              <m:t>−</m:t>
                            </m:r>
                            <m:f>
                              <m:fPr>
                                <m:ctrlPr>
                                  <a:rPr lang="en-US" sz="1400" b="0" i="1">
                                    <a:latin typeface="Cambria Math" panose="02040503050406030204" pitchFamily="18" charset="0"/>
                                  </a:rPr>
                                </m:ctrlPr>
                              </m:fPr>
                              <m:num>
                                <m:sSup>
                                  <m:sSupPr>
                                    <m:ctrlPr>
                                      <a:rPr lang="en-US" sz="1400" b="0" i="1">
                                        <a:latin typeface="Cambria Math" panose="02040503050406030204" pitchFamily="18" charset="0"/>
                                      </a:rPr>
                                    </m:ctrlPr>
                                  </m:sSupPr>
                                  <m:e>
                                    <m:r>
                                      <a:rPr lang="en-US" sz="1400" b="0" i="1">
                                        <a:latin typeface="Cambria Math" panose="02040503050406030204" pitchFamily="18" charset="0"/>
                                      </a:rPr>
                                      <m:t>𝑡</m:t>
                                    </m:r>
                                  </m:e>
                                  <m:sup>
                                    <m:r>
                                      <a:rPr lang="en-US" sz="1400" b="0" i="1">
                                        <a:latin typeface="Cambria Math" panose="02040503050406030204" pitchFamily="18" charset="0"/>
                                      </a:rPr>
                                      <m:t>2</m:t>
                                    </m:r>
                                  </m:sup>
                                </m:sSup>
                              </m:num>
                              <m:den>
                                <m:r>
                                  <a:rPr lang="en-US" sz="1400" b="0" i="1">
                                    <a:latin typeface="Cambria Math" panose="02040503050406030204" pitchFamily="18" charset="0"/>
                                  </a:rPr>
                                  <m:t>2</m:t>
                                </m:r>
                              </m:den>
                            </m:f>
                          </m:sup>
                        </m:sSup>
                      </m:e>
                    </m:nary>
                    <m:r>
                      <a:rPr lang="en-US" sz="1400" b="0" i="1">
                        <a:latin typeface="Cambria Math" panose="02040503050406030204" pitchFamily="18" charset="0"/>
                      </a:rPr>
                      <m:t>𝑑𝑡</m:t>
                    </m:r>
                    <m:r>
                      <a:rPr lang="en-US" sz="1400" b="0" i="1">
                        <a:latin typeface="Cambria Math" panose="02040503050406030204" pitchFamily="18" charset="0"/>
                      </a:rPr>
                      <m:t>=</m:t>
                    </m:r>
                  </m:oMath>
                </m:oMathPara>
              </a14:m>
              <a:endParaRPr lang="en-US" sz="1400"/>
            </a:p>
          </xdr:txBody>
        </xdr:sp>
      </mc:Choice>
      <mc:Fallback xmlns="">
        <xdr:sp macro="" textlink="">
          <xdr:nvSpPr>
            <xdr:cNvPr id="27" name="TextBox 26">
              <a:extLst>
                <a:ext uri="{FF2B5EF4-FFF2-40B4-BE49-F238E27FC236}">
                  <a16:creationId xmlns:a16="http://schemas.microsoft.com/office/drawing/2014/main" id="{D390BEF3-A13F-431E-A51D-59F2BF85C21E}"/>
                </a:ext>
              </a:extLst>
            </xdr:cNvPr>
            <xdr:cNvSpPr txBox="1"/>
          </xdr:nvSpPr>
          <xdr:spPr>
            <a:xfrm>
              <a:off x="866775" y="8677275"/>
              <a:ext cx="1562100" cy="4843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n-US" sz="1400" b="0" i="0">
                  <a:latin typeface="Cambria Math" panose="02040503050406030204" pitchFamily="18" charset="0"/>
                </a:rPr>
                <a:t>2/𝜋⋅∫24_0^0.8▒𝑒^(−𝑡^2/2)  𝑑𝑡=</a:t>
              </a:r>
              <a:endParaRPr lang="en-US" sz="1400"/>
            </a:p>
          </xdr:txBody>
        </xdr:sp>
      </mc:Fallback>
    </mc:AlternateContent>
    <xdr:clientData/>
  </xdr:oneCellAnchor>
  <xdr:twoCellAnchor editAs="oneCell">
    <xdr:from>
      <xdr:col>5</xdr:col>
      <xdr:colOff>126372</xdr:colOff>
      <xdr:row>30</xdr:row>
      <xdr:rowOff>133349</xdr:rowOff>
    </xdr:from>
    <xdr:to>
      <xdr:col>8</xdr:col>
      <xdr:colOff>371475</xdr:colOff>
      <xdr:row>43</xdr:row>
      <xdr:rowOff>124638</xdr:rowOff>
    </xdr:to>
    <xdr:pic>
      <xdr:nvPicPr>
        <xdr:cNvPr id="28" name="Picture 27">
          <a:extLst>
            <a:ext uri="{FF2B5EF4-FFF2-40B4-BE49-F238E27FC236}">
              <a16:creationId xmlns:a16="http://schemas.microsoft.com/office/drawing/2014/main" id="{00000000-0008-0000-0A00-00001C000000}"/>
            </a:ext>
          </a:extLst>
        </xdr:cNvPr>
        <xdr:cNvPicPr>
          <a:picLocks noChangeAspect="1"/>
        </xdr:cNvPicPr>
      </xdr:nvPicPr>
      <xdr:blipFill>
        <a:blip xmlns:r="http://schemas.openxmlformats.org/officeDocument/2006/relationships" r:embed="rId2"/>
        <a:stretch>
          <a:fillRect/>
        </a:stretch>
      </xdr:blipFill>
      <xdr:spPr>
        <a:xfrm>
          <a:off x="7736847" y="7058024"/>
          <a:ext cx="3455028" cy="284878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oneCellAnchor>
    <xdr:from>
      <xdr:col>3</xdr:col>
      <xdr:colOff>152400</xdr:colOff>
      <xdr:row>1</xdr:row>
      <xdr:rowOff>119062</xdr:rowOff>
    </xdr:from>
    <xdr:ext cx="1391856" cy="219163"/>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1981200" y="309562"/>
              <a:ext cx="1391856"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400" b="0" i="1">
                        <a:latin typeface="Cambria Math" panose="02040503050406030204" pitchFamily="18" charset="0"/>
                      </a:rPr>
                      <m:t>𝑓</m:t>
                    </m:r>
                    <m:d>
                      <m:dPr>
                        <m:ctrlPr>
                          <a:rPr lang="en-US" sz="1400" b="0" i="1">
                            <a:latin typeface="Cambria Math" panose="02040503050406030204" pitchFamily="18" charset="0"/>
                          </a:rPr>
                        </m:ctrlPr>
                      </m:dPr>
                      <m:e>
                        <m:r>
                          <a:rPr lang="en-US" sz="1400" b="0" i="1">
                            <a:latin typeface="Cambria Math" panose="02040503050406030204" pitchFamily="18" charset="0"/>
                          </a:rPr>
                          <m:t>𝑥</m:t>
                        </m:r>
                      </m:e>
                    </m:d>
                    <m:r>
                      <a:rPr lang="en-US" sz="1400" b="0" i="1">
                        <a:latin typeface="Cambria Math" panose="02040503050406030204" pitchFamily="18" charset="0"/>
                      </a:rPr>
                      <m:t>=</m:t>
                    </m:r>
                    <m:sSup>
                      <m:sSupPr>
                        <m:ctrlPr>
                          <a:rPr lang="en-US" sz="1400" b="0" i="1">
                            <a:latin typeface="Cambria Math" panose="02040503050406030204" pitchFamily="18" charset="0"/>
                          </a:rPr>
                        </m:ctrlPr>
                      </m:sSupPr>
                      <m:e>
                        <m:r>
                          <a:rPr lang="en-US" sz="1400" b="0" i="1">
                            <a:latin typeface="Cambria Math" panose="02040503050406030204" pitchFamily="18" charset="0"/>
                          </a:rPr>
                          <m:t>𝑒</m:t>
                        </m:r>
                      </m:e>
                      <m:sup>
                        <m:r>
                          <a:rPr lang="en-US" sz="1400" b="0" i="1">
                            <a:latin typeface="Cambria Math" panose="02040503050406030204" pitchFamily="18" charset="0"/>
                          </a:rPr>
                          <m:t>𝑥</m:t>
                        </m:r>
                      </m:sup>
                    </m:sSup>
                    <m:r>
                      <a:rPr lang="en-US" sz="1400" b="0" i="1">
                        <a:latin typeface="Cambria Math" panose="02040503050406030204" pitchFamily="18" charset="0"/>
                      </a:rPr>
                      <m:t>−</m:t>
                    </m:r>
                    <m:func>
                      <m:funcPr>
                        <m:ctrlPr>
                          <a:rPr lang="en-US" sz="1400" b="0" i="1">
                            <a:latin typeface="Cambria Math" panose="02040503050406030204" pitchFamily="18" charset="0"/>
                          </a:rPr>
                        </m:ctrlPr>
                      </m:funcPr>
                      <m:fName>
                        <m:r>
                          <m:rPr>
                            <m:sty m:val="p"/>
                          </m:rPr>
                          <a:rPr lang="en-US" sz="1400" b="0" i="0">
                            <a:latin typeface="Cambria Math" panose="02040503050406030204" pitchFamily="18" charset="0"/>
                          </a:rPr>
                          <m:t>sin</m:t>
                        </m:r>
                      </m:fName>
                      <m:e>
                        <m:r>
                          <a:rPr lang="en-US" sz="1400" b="0" i="1">
                            <a:latin typeface="Cambria Math" panose="02040503050406030204" pitchFamily="18" charset="0"/>
                          </a:rPr>
                          <m:t>𝑥</m:t>
                        </m:r>
                      </m:e>
                    </m:func>
                  </m:oMath>
                </m:oMathPara>
              </a14:m>
              <a:endParaRPr lang="en-US" sz="1400"/>
            </a:p>
          </xdr:txBody>
        </xdr:sp>
      </mc:Choice>
      <mc:Fallback xmlns="">
        <xdr:sp macro="" textlink="">
          <xdr:nvSpPr>
            <xdr:cNvPr id="3" name="TextBox 2">
              <a:extLst>
                <a:ext uri="{FF2B5EF4-FFF2-40B4-BE49-F238E27FC236}">
                  <a16:creationId xmlns:a16="http://schemas.microsoft.com/office/drawing/2014/main" id="{C3F52D84-055F-4459-A0F9-68BB4B95DE70}"/>
                </a:ext>
              </a:extLst>
            </xdr:cNvPr>
            <xdr:cNvSpPr txBox="1"/>
          </xdr:nvSpPr>
          <xdr:spPr>
            <a:xfrm>
              <a:off x="1981200" y="309562"/>
              <a:ext cx="1391856"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400" b="0" i="0">
                  <a:latin typeface="Cambria Math" panose="02040503050406030204" pitchFamily="18" charset="0"/>
                </a:rPr>
                <a:t>𝑓(𝑥)=𝑒^𝑥−sin⁡𝑥</a:t>
              </a:r>
              <a:endParaRPr lang="en-US" sz="1400"/>
            </a:p>
          </xdr:txBody>
        </xdr:sp>
      </mc:Fallback>
    </mc:AlternateContent>
    <xdr:clientData/>
  </xdr:oneCellAnchor>
  <xdr:oneCellAnchor>
    <xdr:from>
      <xdr:col>3</xdr:col>
      <xdr:colOff>171450</xdr:colOff>
      <xdr:row>2</xdr:row>
      <xdr:rowOff>42862</xdr:rowOff>
    </xdr:from>
    <xdr:ext cx="687176" cy="219163"/>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B00-000004000000}"/>
                </a:ext>
              </a:extLst>
            </xdr:cNvPr>
            <xdr:cNvSpPr txBox="1"/>
          </xdr:nvSpPr>
          <xdr:spPr>
            <a:xfrm>
              <a:off x="2000250" y="757237"/>
              <a:ext cx="687176"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0</m:t>
                        </m:r>
                      </m:sub>
                    </m:sSub>
                    <m:r>
                      <a:rPr lang="en-US" sz="1400" b="0" i="1">
                        <a:latin typeface="Cambria Math" panose="02040503050406030204" pitchFamily="18" charset="0"/>
                      </a:rPr>
                      <m:t>=0.5</m:t>
                    </m:r>
                  </m:oMath>
                </m:oMathPara>
              </a14:m>
              <a:endParaRPr lang="en-US" sz="1400"/>
            </a:p>
          </xdr:txBody>
        </xdr:sp>
      </mc:Choice>
      <mc:Fallback xmlns="">
        <xdr:sp macro="" textlink="">
          <xdr:nvSpPr>
            <xdr:cNvPr id="4" name="TextBox 3">
              <a:extLst>
                <a:ext uri="{FF2B5EF4-FFF2-40B4-BE49-F238E27FC236}">
                  <a16:creationId xmlns:a16="http://schemas.microsoft.com/office/drawing/2014/main" id="{F412BE62-DA90-464D-9956-17B6BA7CE930}"/>
                </a:ext>
              </a:extLst>
            </xdr:cNvPr>
            <xdr:cNvSpPr txBox="1"/>
          </xdr:nvSpPr>
          <xdr:spPr>
            <a:xfrm>
              <a:off x="2000250" y="757237"/>
              <a:ext cx="687176"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400" b="0" i="0">
                  <a:latin typeface="Cambria Math" panose="02040503050406030204" pitchFamily="18" charset="0"/>
                </a:rPr>
                <a:t>𝑥_0=0.5</a:t>
              </a:r>
              <a:endParaRPr lang="en-US" sz="1400"/>
            </a:p>
          </xdr:txBody>
        </xdr:sp>
      </mc:Fallback>
    </mc:AlternateContent>
    <xdr:clientData/>
  </xdr:oneCellAnchor>
  <xdr:oneCellAnchor>
    <xdr:from>
      <xdr:col>1</xdr:col>
      <xdr:colOff>152400</xdr:colOff>
      <xdr:row>6</xdr:row>
      <xdr:rowOff>128587</xdr:rowOff>
    </xdr:from>
    <xdr:ext cx="3162212" cy="219163"/>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762000" y="1738312"/>
              <a:ext cx="3162212"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400" b="0" i="1">
                        <a:latin typeface="Cambria Math" panose="02040503050406030204" pitchFamily="18" charset="0"/>
                      </a:rPr>
                      <m:t>𝑓</m:t>
                    </m:r>
                    <m:d>
                      <m:dPr>
                        <m:ctrlPr>
                          <a:rPr lang="en-US" sz="1400" b="0" i="1">
                            <a:latin typeface="Cambria Math" panose="02040503050406030204" pitchFamily="18" charset="0"/>
                          </a:rPr>
                        </m:ctrlPr>
                      </m:dPr>
                      <m:e>
                        <m:r>
                          <a:rPr lang="en-US" sz="1400" b="0" i="1">
                            <a:latin typeface="Cambria Math" panose="02040503050406030204" pitchFamily="18" charset="0"/>
                          </a:rPr>
                          <m:t>𝑥</m:t>
                        </m:r>
                      </m:e>
                    </m:d>
                    <m:r>
                      <a:rPr lang="en-US" sz="1400" b="0" i="1">
                        <a:latin typeface="Cambria Math" panose="02040503050406030204" pitchFamily="18" charset="0"/>
                      </a:rPr>
                      <m:t>=</m:t>
                    </m:r>
                    <m:sSup>
                      <m:sSupPr>
                        <m:ctrlPr>
                          <a:rPr lang="en-US" sz="1400" b="0" i="1">
                            <a:latin typeface="Cambria Math" panose="02040503050406030204" pitchFamily="18" charset="0"/>
                          </a:rPr>
                        </m:ctrlPr>
                      </m:sSupPr>
                      <m:e>
                        <m:r>
                          <a:rPr lang="en-US" sz="1400" b="0" i="1">
                            <a:latin typeface="Cambria Math" panose="02040503050406030204" pitchFamily="18" charset="0"/>
                          </a:rPr>
                          <m:t>𝑒</m:t>
                        </m:r>
                      </m:e>
                      <m:sup>
                        <m:r>
                          <a:rPr lang="en-US" sz="1400" b="0" i="1">
                            <a:latin typeface="Cambria Math" panose="02040503050406030204" pitchFamily="18" charset="0"/>
                          </a:rPr>
                          <m:t>𝑥</m:t>
                        </m:r>
                      </m:sup>
                    </m:sSup>
                    <m:r>
                      <a:rPr lang="en-US" sz="1400" b="0" i="1">
                        <a:latin typeface="Cambria Math" panose="02040503050406030204" pitchFamily="18" charset="0"/>
                      </a:rPr>
                      <m:t>−</m:t>
                    </m:r>
                    <m:func>
                      <m:funcPr>
                        <m:ctrlPr>
                          <a:rPr lang="en-US" sz="1400" b="0" i="1">
                            <a:latin typeface="Cambria Math" panose="02040503050406030204" pitchFamily="18" charset="0"/>
                          </a:rPr>
                        </m:ctrlPr>
                      </m:funcPr>
                      <m:fName>
                        <m:r>
                          <m:rPr>
                            <m:sty m:val="p"/>
                          </m:rPr>
                          <a:rPr lang="en-US" sz="1400" b="0" i="0">
                            <a:latin typeface="Cambria Math" panose="02040503050406030204" pitchFamily="18" charset="0"/>
                          </a:rPr>
                          <m:t>sin</m:t>
                        </m:r>
                      </m:fName>
                      <m:e>
                        <m:d>
                          <m:dPr>
                            <m:ctrlPr>
                              <a:rPr lang="en-US" sz="1400" b="0" i="1">
                                <a:latin typeface="Cambria Math" panose="02040503050406030204" pitchFamily="18" charset="0"/>
                              </a:rPr>
                            </m:ctrlPr>
                          </m:dPr>
                          <m:e>
                            <m:r>
                              <a:rPr lang="en-US" sz="1400" b="0" i="1">
                                <a:latin typeface="Cambria Math" panose="02040503050406030204" pitchFamily="18" charset="0"/>
                              </a:rPr>
                              <m:t>𝑥</m:t>
                            </m:r>
                          </m:e>
                        </m:d>
                      </m:e>
                    </m:func>
                    <m:r>
                      <a:rPr lang="en-US" sz="1400" b="0" i="1">
                        <a:latin typeface="Cambria Math" panose="02040503050406030204" pitchFamily="18" charset="0"/>
                      </a:rPr>
                      <m:t>, </m:t>
                    </m:r>
                    <m:sSup>
                      <m:sSupPr>
                        <m:ctrlPr>
                          <a:rPr lang="en-US" sz="1400" b="0" i="1">
                            <a:latin typeface="Cambria Math" panose="02040503050406030204" pitchFamily="18" charset="0"/>
                          </a:rPr>
                        </m:ctrlPr>
                      </m:sSupPr>
                      <m:e>
                        <m:r>
                          <a:rPr lang="en-US" sz="1400" b="0" i="1">
                            <a:latin typeface="Cambria Math" panose="02040503050406030204" pitchFamily="18" charset="0"/>
                          </a:rPr>
                          <m:t>𝑓</m:t>
                        </m:r>
                      </m:e>
                      <m:sup>
                        <m:r>
                          <a:rPr lang="en-US" sz="1400" b="0" i="1">
                            <a:latin typeface="Cambria Math" panose="02040503050406030204" pitchFamily="18" charset="0"/>
                          </a:rPr>
                          <m:t>′</m:t>
                        </m:r>
                      </m:sup>
                    </m:sSup>
                    <m:d>
                      <m:dPr>
                        <m:ctrlPr>
                          <a:rPr lang="en-US" sz="1400" b="0" i="1">
                            <a:latin typeface="Cambria Math" panose="02040503050406030204" pitchFamily="18" charset="0"/>
                          </a:rPr>
                        </m:ctrlPr>
                      </m:dPr>
                      <m:e>
                        <m:r>
                          <a:rPr lang="en-US" sz="1400" b="0" i="1">
                            <a:latin typeface="Cambria Math" panose="02040503050406030204" pitchFamily="18" charset="0"/>
                          </a:rPr>
                          <m:t>𝑥</m:t>
                        </m:r>
                      </m:e>
                    </m:d>
                    <m:r>
                      <a:rPr lang="en-US" sz="1400" b="0" i="1">
                        <a:latin typeface="Cambria Math" panose="02040503050406030204" pitchFamily="18" charset="0"/>
                      </a:rPr>
                      <m:t>=</m:t>
                    </m:r>
                    <m:sSup>
                      <m:sSupPr>
                        <m:ctrlPr>
                          <a:rPr lang="en-US" sz="1400" b="0" i="1">
                            <a:latin typeface="Cambria Math" panose="02040503050406030204" pitchFamily="18" charset="0"/>
                          </a:rPr>
                        </m:ctrlPr>
                      </m:sSupPr>
                      <m:e>
                        <m:r>
                          <a:rPr lang="en-US" sz="1400" b="0" i="1">
                            <a:latin typeface="Cambria Math" panose="02040503050406030204" pitchFamily="18" charset="0"/>
                          </a:rPr>
                          <m:t>𝑒</m:t>
                        </m:r>
                      </m:e>
                      <m:sup>
                        <m:r>
                          <a:rPr lang="en-US" sz="1400" b="0" i="1">
                            <a:latin typeface="Cambria Math" panose="02040503050406030204" pitchFamily="18" charset="0"/>
                          </a:rPr>
                          <m:t>𝑥</m:t>
                        </m:r>
                      </m:sup>
                    </m:sSup>
                    <m:r>
                      <a:rPr lang="en-US" sz="1400" b="0" i="1">
                        <a:latin typeface="Cambria Math" panose="02040503050406030204" pitchFamily="18" charset="0"/>
                      </a:rPr>
                      <m:t>−</m:t>
                    </m:r>
                    <m:r>
                      <m:rPr>
                        <m:sty m:val="p"/>
                      </m:rPr>
                      <a:rPr lang="en-US" sz="1400" b="0" i="0">
                        <a:latin typeface="Cambria Math" panose="02040503050406030204" pitchFamily="18" charset="0"/>
                      </a:rPr>
                      <m:t>cos</m:t>
                    </m:r>
                    <m:r>
                      <a:rPr lang="en-US" sz="1400" b="0" i="1">
                        <a:latin typeface="Cambria Math" panose="02040503050406030204" pitchFamily="18" charset="0"/>
                      </a:rPr>
                      <m:t>⁡(</m:t>
                    </m:r>
                    <m:r>
                      <a:rPr lang="en-US" sz="1400" b="0" i="1">
                        <a:latin typeface="Cambria Math" panose="02040503050406030204" pitchFamily="18" charset="0"/>
                      </a:rPr>
                      <m:t>𝑥</m:t>
                    </m:r>
                    <m:r>
                      <a:rPr lang="en-US" sz="1400" b="0" i="1">
                        <a:latin typeface="Cambria Math" panose="02040503050406030204" pitchFamily="18" charset="0"/>
                      </a:rPr>
                      <m:t>)</m:t>
                    </m:r>
                  </m:oMath>
                </m:oMathPara>
              </a14:m>
              <a:endParaRPr lang="en-US" sz="1400"/>
            </a:p>
          </xdr:txBody>
        </xdr:sp>
      </mc:Choice>
      <mc:Fallback xmlns="">
        <xdr:sp macro="" textlink="">
          <xdr:nvSpPr>
            <xdr:cNvPr id="6" name="TextBox 5">
              <a:extLst>
                <a:ext uri="{FF2B5EF4-FFF2-40B4-BE49-F238E27FC236}">
                  <a16:creationId xmlns:a16="http://schemas.microsoft.com/office/drawing/2014/main" id="{24E38B55-DBE2-49E1-B1C0-A68D681609B7}"/>
                </a:ext>
              </a:extLst>
            </xdr:cNvPr>
            <xdr:cNvSpPr txBox="1"/>
          </xdr:nvSpPr>
          <xdr:spPr>
            <a:xfrm>
              <a:off x="762000" y="1738312"/>
              <a:ext cx="3162212"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400" b="0" i="0">
                  <a:latin typeface="Cambria Math" panose="02040503050406030204" pitchFamily="18" charset="0"/>
                </a:rPr>
                <a:t>𝑓(𝑥)=𝑒^𝑥−sin⁡(𝑥), 𝑓^′ (𝑥)=𝑒^𝑥−cos⁡(𝑥)</a:t>
              </a:r>
              <a:endParaRPr lang="en-US" sz="1400"/>
            </a:p>
          </xdr:txBody>
        </xdr:sp>
      </mc:Fallback>
    </mc:AlternateContent>
    <xdr:clientData/>
  </xdr:oneCellAnchor>
  <xdr:oneCellAnchor>
    <xdr:from>
      <xdr:col>1</xdr:col>
      <xdr:colOff>238125</xdr:colOff>
      <xdr:row>8</xdr:row>
      <xdr:rowOff>80962</xdr:rowOff>
    </xdr:from>
    <xdr:ext cx="1538178" cy="455894"/>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00000000-0008-0000-0B00-000007000000}"/>
                </a:ext>
              </a:extLst>
            </xdr:cNvPr>
            <xdr:cNvSpPr txBox="1"/>
          </xdr:nvSpPr>
          <xdr:spPr>
            <a:xfrm>
              <a:off x="847725" y="2386012"/>
              <a:ext cx="1538178" cy="4558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r>
                          <a:rPr lang="en-US" sz="1400" b="0" i="1">
                            <a:latin typeface="Cambria Math" panose="02040503050406030204" pitchFamily="18" charset="0"/>
                          </a:rPr>
                          <m:t>+1</m:t>
                        </m:r>
                      </m:sub>
                    </m:sSub>
                    <m:r>
                      <a:rPr lang="en-US" sz="1400" b="0" i="1">
                        <a:latin typeface="Cambria Math" panose="02040503050406030204" pitchFamily="18" charset="0"/>
                      </a:rPr>
                      <m:t>=</m:t>
                    </m:r>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sub>
                    </m:sSub>
                    <m:r>
                      <a:rPr lang="en-US" sz="1400" b="0" i="1">
                        <a:latin typeface="Cambria Math" panose="02040503050406030204" pitchFamily="18" charset="0"/>
                      </a:rPr>
                      <m:t>−</m:t>
                    </m:r>
                    <m:f>
                      <m:fPr>
                        <m:ctrlPr>
                          <a:rPr lang="en-US" sz="1400" b="0" i="1">
                            <a:latin typeface="Cambria Math" panose="02040503050406030204" pitchFamily="18" charset="0"/>
                          </a:rPr>
                        </m:ctrlPr>
                      </m:fPr>
                      <m:num>
                        <m:r>
                          <a:rPr lang="en-US" sz="1400" b="0" i="1">
                            <a:latin typeface="Cambria Math" panose="02040503050406030204" pitchFamily="18" charset="0"/>
                          </a:rPr>
                          <m:t>𝑓</m:t>
                        </m:r>
                        <m:d>
                          <m:dPr>
                            <m:ctrlPr>
                              <a:rPr lang="en-US" sz="1400" b="0" i="1">
                                <a:latin typeface="Cambria Math" panose="02040503050406030204" pitchFamily="18" charset="0"/>
                              </a:rPr>
                            </m:ctrlPr>
                          </m:dPr>
                          <m:e>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sub>
                            </m:sSub>
                          </m:e>
                        </m:d>
                      </m:num>
                      <m:den>
                        <m:sSup>
                          <m:sSupPr>
                            <m:ctrlPr>
                              <a:rPr lang="en-US" sz="1400" b="0" i="1">
                                <a:latin typeface="Cambria Math" panose="02040503050406030204" pitchFamily="18" charset="0"/>
                              </a:rPr>
                            </m:ctrlPr>
                          </m:sSupPr>
                          <m:e>
                            <m:r>
                              <a:rPr lang="en-US" sz="1400" b="0" i="1">
                                <a:latin typeface="Cambria Math" panose="02040503050406030204" pitchFamily="18" charset="0"/>
                              </a:rPr>
                              <m:t>𝑓</m:t>
                            </m:r>
                          </m:e>
                          <m:sup>
                            <m:r>
                              <a:rPr lang="en-US" sz="1400" b="0" i="1">
                                <a:latin typeface="Cambria Math" panose="02040503050406030204" pitchFamily="18" charset="0"/>
                              </a:rPr>
                              <m:t>′</m:t>
                            </m:r>
                          </m:sup>
                        </m:sSup>
                        <m:d>
                          <m:dPr>
                            <m:ctrlPr>
                              <a:rPr lang="en-US" sz="1400" b="0" i="1">
                                <a:latin typeface="Cambria Math" panose="02040503050406030204" pitchFamily="18" charset="0"/>
                              </a:rPr>
                            </m:ctrlPr>
                          </m:dPr>
                          <m:e>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sub>
                            </m:sSub>
                          </m:e>
                        </m:d>
                      </m:den>
                    </m:f>
                  </m:oMath>
                </m:oMathPara>
              </a14:m>
              <a:endParaRPr lang="en-US" sz="1400"/>
            </a:p>
          </xdr:txBody>
        </xdr:sp>
      </mc:Choice>
      <mc:Fallback xmlns="">
        <xdr:sp macro="" textlink="">
          <xdr:nvSpPr>
            <xdr:cNvPr id="7" name="TextBox 6">
              <a:extLst>
                <a:ext uri="{FF2B5EF4-FFF2-40B4-BE49-F238E27FC236}">
                  <a16:creationId xmlns:a16="http://schemas.microsoft.com/office/drawing/2014/main" id="{C9335B08-03C0-4FFA-987D-E0FC1FE0C27C}"/>
                </a:ext>
              </a:extLst>
            </xdr:cNvPr>
            <xdr:cNvSpPr txBox="1"/>
          </xdr:nvSpPr>
          <xdr:spPr>
            <a:xfrm>
              <a:off x="847725" y="2386012"/>
              <a:ext cx="1538178" cy="4558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400" b="0" i="0">
                  <a:latin typeface="Cambria Math" panose="02040503050406030204" pitchFamily="18" charset="0"/>
                </a:rPr>
                <a:t>𝑥_(𝑛+1)=𝑥_𝑛−𝑓(𝑥_𝑛 )/(𝑓^′ (𝑥_𝑛 ) )</a:t>
              </a:r>
              <a:endParaRPr lang="en-US" sz="1400"/>
            </a:p>
          </xdr:txBody>
        </xdr:sp>
      </mc:Fallback>
    </mc:AlternateContent>
    <xdr:clientData/>
  </xdr:oneCellAnchor>
  <xdr:oneCellAnchor>
    <xdr:from>
      <xdr:col>1</xdr:col>
      <xdr:colOff>295275</xdr:colOff>
      <xdr:row>10</xdr:row>
      <xdr:rowOff>157162</xdr:rowOff>
    </xdr:from>
    <xdr:ext cx="2651431" cy="629660"/>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904875" y="3262312"/>
              <a:ext cx="2651431" cy="6296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sSub>
                      <m:sSubPr>
                        <m:ctrlPr>
                          <a:rPr lang="en-US" sz="1400" i="1">
                            <a:solidFill>
                              <a:schemeClr val="tx1"/>
                            </a:solidFill>
                            <a:effectLst/>
                            <a:latin typeface="Cambria Math" panose="02040503050406030204" pitchFamily="18" charset="0"/>
                            <a:ea typeface="+mn-ea"/>
                            <a:cs typeface="+mn-cs"/>
                          </a:rPr>
                        </m:ctrlPr>
                      </m:sSubPr>
                      <m:e>
                        <m:r>
                          <a:rPr lang="en-US" sz="1400" i="1">
                            <a:solidFill>
                              <a:schemeClr val="tx1"/>
                            </a:solidFill>
                            <a:effectLst/>
                            <a:latin typeface="Cambria Math" panose="02040503050406030204" pitchFamily="18" charset="0"/>
                            <a:ea typeface="+mn-ea"/>
                            <a:cs typeface="+mn-cs"/>
                          </a:rPr>
                          <m:t>𝜖</m:t>
                        </m:r>
                      </m:e>
                      <m:sub>
                        <m:r>
                          <a:rPr lang="en-US" sz="1400" i="1">
                            <a:solidFill>
                              <a:schemeClr val="tx1"/>
                            </a:solidFill>
                            <a:effectLst/>
                            <a:latin typeface="Cambria Math" panose="02040503050406030204" pitchFamily="18" charset="0"/>
                            <a:ea typeface="+mn-ea"/>
                            <a:cs typeface="+mn-cs"/>
                          </a:rPr>
                          <m:t>𝑎</m:t>
                        </m:r>
                      </m:sub>
                    </m:sSub>
                    <m:r>
                      <a:rPr lang="en-US" sz="1400" i="1">
                        <a:solidFill>
                          <a:schemeClr val="tx1"/>
                        </a:solidFill>
                        <a:effectLst/>
                        <a:latin typeface="Cambria Math" panose="02040503050406030204" pitchFamily="18" charset="0"/>
                        <a:ea typeface="+mn-ea"/>
                        <a:cs typeface="+mn-cs"/>
                      </a:rPr>
                      <m:t>=</m:t>
                    </m:r>
                    <m:d>
                      <m:dPr>
                        <m:begChr m:val="|"/>
                        <m:endChr m:val="|"/>
                        <m:ctrlPr>
                          <a:rPr lang="en-US" sz="1400" i="1">
                            <a:solidFill>
                              <a:schemeClr val="tx1"/>
                            </a:solidFill>
                            <a:effectLst/>
                            <a:latin typeface="Cambria Math" panose="02040503050406030204" pitchFamily="18" charset="0"/>
                            <a:ea typeface="+mn-ea"/>
                            <a:cs typeface="+mn-cs"/>
                          </a:rPr>
                        </m:ctrlPr>
                      </m:dPr>
                      <m:e>
                        <m:f>
                          <m:fPr>
                            <m:ctrlPr>
                              <a:rPr lang="en-US" sz="1400" i="1">
                                <a:solidFill>
                                  <a:schemeClr val="tx1"/>
                                </a:solidFill>
                                <a:effectLst/>
                                <a:latin typeface="Cambria Math" panose="02040503050406030204" pitchFamily="18" charset="0"/>
                                <a:ea typeface="+mn-ea"/>
                                <a:cs typeface="+mn-cs"/>
                              </a:rPr>
                            </m:ctrlPr>
                          </m:fPr>
                          <m:num>
                            <m:r>
                              <a:rPr lang="en-US" sz="1400" i="1">
                                <a:solidFill>
                                  <a:schemeClr val="tx1"/>
                                </a:solidFill>
                                <a:effectLst/>
                                <a:latin typeface="Cambria Math" panose="02040503050406030204" pitchFamily="18" charset="0"/>
                                <a:ea typeface="+mn-ea"/>
                                <a:cs typeface="+mn-cs"/>
                              </a:rPr>
                              <m:t>𝐶𝑢𝑟𝑟𝑒𝑛𝑡</m:t>
                            </m:r>
                            <m:r>
                              <a:rPr lang="en-US" sz="1400" i="1">
                                <a:solidFill>
                                  <a:schemeClr val="tx1"/>
                                </a:solidFill>
                                <a:effectLst/>
                                <a:latin typeface="Cambria Math" panose="02040503050406030204" pitchFamily="18" charset="0"/>
                                <a:ea typeface="+mn-ea"/>
                                <a:cs typeface="+mn-cs"/>
                              </a:rPr>
                              <m:t>−</m:t>
                            </m:r>
                            <m:r>
                              <a:rPr lang="en-US" sz="1400" i="1">
                                <a:solidFill>
                                  <a:schemeClr val="tx1"/>
                                </a:solidFill>
                                <a:effectLst/>
                                <a:latin typeface="Cambria Math" panose="02040503050406030204" pitchFamily="18" charset="0"/>
                                <a:ea typeface="+mn-ea"/>
                                <a:cs typeface="+mn-cs"/>
                              </a:rPr>
                              <m:t>𝑃𝑟𝑒𝑣𝑖𝑜𝑢𝑠</m:t>
                            </m:r>
                          </m:num>
                          <m:den>
                            <m:r>
                              <a:rPr lang="en-US" sz="1400" i="1">
                                <a:solidFill>
                                  <a:schemeClr val="tx1"/>
                                </a:solidFill>
                                <a:effectLst/>
                                <a:latin typeface="Cambria Math" panose="02040503050406030204" pitchFamily="18" charset="0"/>
                                <a:ea typeface="+mn-ea"/>
                                <a:cs typeface="+mn-cs"/>
                              </a:rPr>
                              <m:t>𝐶𝑢𝑟𝑟𝑒𝑛𝑡</m:t>
                            </m:r>
                          </m:den>
                        </m:f>
                      </m:e>
                    </m:d>
                    <m:r>
                      <a:rPr lang="en-US" sz="1400" i="1">
                        <a:solidFill>
                          <a:schemeClr val="tx1"/>
                        </a:solidFill>
                        <a:effectLst/>
                        <a:latin typeface="Cambria Math" panose="02040503050406030204" pitchFamily="18" charset="0"/>
                        <a:ea typeface="+mn-ea"/>
                        <a:cs typeface="+mn-cs"/>
                      </a:rPr>
                      <m:t>×100</m:t>
                    </m:r>
                  </m:oMath>
                </m:oMathPara>
              </a14:m>
              <a:endParaRPr lang="en-US" sz="1400">
                <a:solidFill>
                  <a:schemeClr val="tx1"/>
                </a:solidFill>
                <a:effectLst/>
                <a:latin typeface="+mn-lt"/>
                <a:ea typeface="+mn-ea"/>
                <a:cs typeface="+mn-cs"/>
              </a:endParaRPr>
            </a:p>
            <a:p>
              <a:endParaRPr lang="en-US" sz="1400"/>
            </a:p>
          </xdr:txBody>
        </xdr:sp>
      </mc:Choice>
      <mc:Fallback xmlns="">
        <xdr:sp macro="" textlink="">
          <xdr:nvSpPr>
            <xdr:cNvPr id="8" name="TextBox 7">
              <a:extLst>
                <a:ext uri="{FF2B5EF4-FFF2-40B4-BE49-F238E27FC236}">
                  <a16:creationId xmlns:a16="http://schemas.microsoft.com/office/drawing/2014/main" id="{DDBF85DA-C04C-439B-BAE8-BC422A878647}"/>
                </a:ext>
              </a:extLst>
            </xdr:cNvPr>
            <xdr:cNvSpPr txBox="1"/>
          </xdr:nvSpPr>
          <xdr:spPr>
            <a:xfrm>
              <a:off x="904875" y="3262312"/>
              <a:ext cx="2651431" cy="6296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1400" i="0">
                  <a:solidFill>
                    <a:schemeClr val="tx1"/>
                  </a:solidFill>
                  <a:effectLst/>
                  <a:latin typeface="+mn-lt"/>
                  <a:ea typeface="+mn-ea"/>
                  <a:cs typeface="+mn-cs"/>
                </a:rPr>
                <a:t>𝜖_𝑎=|(𝐶𝑢𝑟𝑟𝑒𝑛𝑡−𝑃𝑟𝑒𝑣𝑖𝑜𝑢𝑠)/𝐶𝑢𝑟𝑟𝑒𝑛𝑡|×100</a:t>
              </a:r>
              <a:endParaRPr lang="en-US" sz="1400">
                <a:solidFill>
                  <a:schemeClr val="tx1"/>
                </a:solidFill>
                <a:effectLst/>
                <a:latin typeface="+mn-lt"/>
                <a:ea typeface="+mn-ea"/>
                <a:cs typeface="+mn-cs"/>
              </a:endParaRPr>
            </a:p>
            <a:p>
              <a:endParaRPr lang="en-US" sz="1400"/>
            </a:p>
          </xdr:txBody>
        </xdr:sp>
      </mc:Fallback>
    </mc:AlternateContent>
    <xdr:clientData/>
  </xdr:oneCellAnchor>
  <xdr:twoCellAnchor editAs="oneCell">
    <xdr:from>
      <xdr:col>10</xdr:col>
      <xdr:colOff>104775</xdr:colOff>
      <xdr:row>13</xdr:row>
      <xdr:rowOff>47625</xdr:rowOff>
    </xdr:from>
    <xdr:to>
      <xdr:col>21</xdr:col>
      <xdr:colOff>285750</xdr:colOff>
      <xdr:row>33</xdr:row>
      <xdr:rowOff>114300</xdr:rowOff>
    </xdr:to>
    <xdr:pic>
      <xdr:nvPicPr>
        <xdr:cNvPr id="10" name="Picture 9">
          <a:extLst>
            <a:ext uri="{FF2B5EF4-FFF2-40B4-BE49-F238E27FC236}">
              <a16:creationId xmlns:a16="http://schemas.microsoft.com/office/drawing/2014/main" id="{00000000-0008-0000-0B00-00000A000000}"/>
            </a:ext>
          </a:extLst>
        </xdr:cNvPr>
        <xdr:cNvPicPr/>
      </xdr:nvPicPr>
      <xdr:blipFill>
        <a:blip xmlns:r="http://schemas.openxmlformats.org/officeDocument/2006/relationships" r:embed="rId1"/>
        <a:stretch>
          <a:fillRect/>
        </a:stretch>
      </xdr:blipFill>
      <xdr:spPr>
        <a:xfrm>
          <a:off x="9324975" y="4352925"/>
          <a:ext cx="7124700" cy="4324350"/>
        </a:xfrm>
        <a:prstGeom prst="rect">
          <a:avLst/>
        </a:prstGeom>
      </xdr:spPr>
    </xdr:pic>
    <xdr:clientData/>
  </xdr:twoCellAnchor>
  <xdr:oneCellAnchor>
    <xdr:from>
      <xdr:col>2</xdr:col>
      <xdr:colOff>123825</xdr:colOff>
      <xdr:row>13</xdr:row>
      <xdr:rowOff>100012</xdr:rowOff>
    </xdr:from>
    <xdr:ext cx="146642" cy="219163"/>
    <mc:AlternateContent xmlns:mc="http://schemas.openxmlformats.org/markup-compatibility/2006">
      <mc:Choice xmlns:a14="http://schemas.microsoft.com/office/drawing/2010/main" Requires="a14">
        <xdr:sp macro="" textlink="">
          <xdr:nvSpPr>
            <xdr:cNvPr id="2" name="TextBox 1">
              <a:extLst>
                <a:ext uri="{FF2B5EF4-FFF2-40B4-BE49-F238E27FC236}">
                  <a16:creationId xmlns:a16="http://schemas.microsoft.com/office/drawing/2014/main" id="{ABFC40E6-12B6-410C-B349-5C3F26632EA4}"/>
                </a:ext>
              </a:extLst>
            </xdr:cNvPr>
            <xdr:cNvSpPr txBox="1"/>
          </xdr:nvSpPr>
          <xdr:spPr>
            <a:xfrm>
              <a:off x="1343025" y="4405312"/>
              <a:ext cx="146642"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Para xmlns:m="http://schemas.openxmlformats.org/officeDocument/2006/math">
                  <m:oMathParaPr>
                    <m:jc m:val="centerGroup"/>
                  </m:oMathParaPr>
                  <m:oMath xmlns:m="http://schemas.openxmlformats.org/officeDocument/2006/math">
                    <m:r>
                      <a:rPr lang="en-US" sz="1400" b="0" i="1">
                        <a:latin typeface="Cambria Math" panose="02040503050406030204" pitchFamily="18" charset="0"/>
                      </a:rPr>
                      <m:t>𝑛</m:t>
                    </m:r>
                  </m:oMath>
                </m:oMathPara>
              </a14:m>
              <a:endParaRPr lang="en-US" sz="1400"/>
            </a:p>
          </xdr:txBody>
        </xdr:sp>
      </mc:Choice>
      <mc:Fallback>
        <xdr:sp macro="" textlink="">
          <xdr:nvSpPr>
            <xdr:cNvPr id="2" name="TextBox 1">
              <a:extLst>
                <a:ext uri="{FF2B5EF4-FFF2-40B4-BE49-F238E27FC236}">
                  <a16:creationId xmlns:a16="http://schemas.microsoft.com/office/drawing/2014/main" id="{ABFC40E6-12B6-410C-B349-5C3F26632EA4}"/>
                </a:ext>
              </a:extLst>
            </xdr:cNvPr>
            <xdr:cNvSpPr txBox="1"/>
          </xdr:nvSpPr>
          <xdr:spPr>
            <a:xfrm>
              <a:off x="1343025" y="4405312"/>
              <a:ext cx="146642"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400" b="0" i="0">
                  <a:latin typeface="Cambria Math" panose="02040503050406030204" pitchFamily="18" charset="0"/>
                </a:rPr>
                <a:t>𝑛</a:t>
              </a:r>
              <a:endParaRPr lang="en-US" sz="1400"/>
            </a:p>
          </xdr:txBody>
        </xdr:sp>
      </mc:Fallback>
    </mc:AlternateContent>
    <xdr:clientData/>
  </xdr:oneCellAnchor>
  <xdr:oneCellAnchor>
    <xdr:from>
      <xdr:col>7</xdr:col>
      <xdr:colOff>476250</xdr:colOff>
      <xdr:row>13</xdr:row>
      <xdr:rowOff>204787</xdr:rowOff>
    </xdr:from>
    <xdr:ext cx="791114" cy="219163"/>
    <mc:AlternateContent xmlns:mc="http://schemas.openxmlformats.org/markup-compatibility/2006">
      <mc:Choice xmlns:a14="http://schemas.microsoft.com/office/drawing/2010/main" Requires="a14">
        <xdr:sp macro="" textlink="">
          <xdr:nvSpPr>
            <xdr:cNvPr id="5" name="TextBox 4">
              <a:extLst>
                <a:ext uri="{FF2B5EF4-FFF2-40B4-BE49-F238E27FC236}">
                  <a16:creationId xmlns:a16="http://schemas.microsoft.com/office/drawing/2014/main" id="{BC6E3841-CFBA-4870-8D1E-5A5655483404}"/>
                </a:ext>
              </a:extLst>
            </xdr:cNvPr>
            <xdr:cNvSpPr txBox="1"/>
          </xdr:nvSpPr>
          <xdr:spPr>
            <a:xfrm>
              <a:off x="7048500" y="4510087"/>
              <a:ext cx="791114"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Para xmlns:m="http://schemas.openxmlformats.org/officeDocument/2006/math">
                  <m:oMathParaPr>
                    <m:jc m:val="centerGroup"/>
                  </m:oMathParaPr>
                  <m:oMath xmlns:m="http://schemas.openxmlformats.org/officeDocument/2006/math">
                    <m:sSub>
                      <m:sSubPr>
                        <m:ctrlPr>
                          <a:rPr lang="en-US" sz="1400" b="0" i="1">
                            <a:latin typeface="Cambria Math" panose="02040503050406030204" pitchFamily="18" charset="0"/>
                          </a:rPr>
                        </m:ctrlPr>
                      </m:sSubPr>
                      <m:e>
                        <m:r>
                          <a:rPr lang="en-US" sz="1400" b="0" i="1">
                            <a:latin typeface="Cambria Math" panose="02040503050406030204" pitchFamily="18" charset="0"/>
                          </a:rPr>
                          <m:t>𝜖</m:t>
                        </m:r>
                      </m:e>
                      <m:sub>
                        <m:r>
                          <a:rPr lang="en-US" sz="1400" b="0" i="1">
                            <a:latin typeface="Cambria Math" panose="02040503050406030204" pitchFamily="18" charset="0"/>
                          </a:rPr>
                          <m:t>𝑎</m:t>
                        </m:r>
                      </m:sub>
                    </m:sSub>
                    <m:r>
                      <a:rPr lang="en-US" sz="1400" b="0" i="1">
                        <a:latin typeface="Cambria Math" panose="02040503050406030204" pitchFamily="18" charset="0"/>
                      </a:rPr>
                      <m:t> (</m:t>
                    </m:r>
                    <m:r>
                      <a:rPr lang="en-US" sz="1400" b="0" i="1">
                        <a:latin typeface="Cambria Math" panose="02040503050406030204" pitchFamily="18" charset="0"/>
                      </a:rPr>
                      <m:t>𝑎𝑠</m:t>
                    </m:r>
                    <m:r>
                      <a:rPr lang="en-US" sz="1400" b="0" i="1">
                        <a:latin typeface="Cambria Math" panose="02040503050406030204" pitchFamily="18" charset="0"/>
                      </a:rPr>
                      <m:t> %)</m:t>
                    </m:r>
                  </m:oMath>
                </m:oMathPara>
              </a14:m>
              <a:endParaRPr lang="en-US" sz="1400"/>
            </a:p>
          </xdr:txBody>
        </xdr:sp>
      </mc:Choice>
      <mc:Fallback>
        <xdr:sp macro="" textlink="">
          <xdr:nvSpPr>
            <xdr:cNvPr id="5" name="TextBox 4">
              <a:extLst>
                <a:ext uri="{FF2B5EF4-FFF2-40B4-BE49-F238E27FC236}">
                  <a16:creationId xmlns:a16="http://schemas.microsoft.com/office/drawing/2014/main" id="{BC6E3841-CFBA-4870-8D1E-5A5655483404}"/>
                </a:ext>
              </a:extLst>
            </xdr:cNvPr>
            <xdr:cNvSpPr txBox="1"/>
          </xdr:nvSpPr>
          <xdr:spPr>
            <a:xfrm>
              <a:off x="7048500" y="4510087"/>
              <a:ext cx="791114"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400" b="0" i="0">
                  <a:latin typeface="Cambria Math" panose="02040503050406030204" pitchFamily="18" charset="0"/>
                </a:rPr>
                <a:t>𝜖_𝑎  (𝑎𝑠 %)</a:t>
              </a:r>
              <a:endParaRPr lang="en-US" sz="1400"/>
            </a:p>
          </xdr:txBody>
        </xdr:sp>
      </mc:Fallback>
    </mc:AlternateContent>
    <xdr:clientData/>
  </xdr:oneCellAnchor>
  <xdr:oneCellAnchor>
    <xdr:from>
      <xdr:col>6</xdr:col>
      <xdr:colOff>85725</xdr:colOff>
      <xdr:row>13</xdr:row>
      <xdr:rowOff>80962</xdr:rowOff>
    </xdr:from>
    <xdr:ext cx="1150443" cy="484043"/>
    <mc:AlternateContent xmlns:mc="http://schemas.openxmlformats.org/markup-compatibility/2006">
      <mc:Choice xmlns:a14="http://schemas.microsoft.com/office/drawing/2010/main" Requires="a14">
        <xdr:sp macro="" textlink="">
          <xdr:nvSpPr>
            <xdr:cNvPr id="9" name="TextBox 8">
              <a:extLst>
                <a:ext uri="{FF2B5EF4-FFF2-40B4-BE49-F238E27FC236}">
                  <a16:creationId xmlns:a16="http://schemas.microsoft.com/office/drawing/2014/main" id="{8F4B92CE-D83C-40E7-842F-E77FA0ED1F66}"/>
                </a:ext>
              </a:extLst>
            </xdr:cNvPr>
            <xdr:cNvSpPr txBox="1"/>
          </xdr:nvSpPr>
          <xdr:spPr>
            <a:xfrm>
              <a:off x="5372100" y="4386262"/>
              <a:ext cx="1150443" cy="4840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Para xmlns:m="http://schemas.openxmlformats.org/officeDocument/2006/math">
                  <m:oMathParaPr>
                    <m:jc m:val="centerGroup"/>
                  </m:oMathParaPr>
                  <m:oMath xmlns:m="http://schemas.openxmlformats.org/officeDocument/2006/math">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sub>
                    </m:sSub>
                    <m:r>
                      <a:rPr lang="en-US" sz="1400" b="0" i="1">
                        <a:latin typeface="Cambria Math" panose="02040503050406030204" pitchFamily="18" charset="0"/>
                      </a:rPr>
                      <m:t>−</m:t>
                    </m:r>
                    <m:d>
                      <m:dPr>
                        <m:ctrlPr>
                          <a:rPr lang="en-US" sz="1400" b="0" i="1">
                            <a:latin typeface="Cambria Math" panose="02040503050406030204" pitchFamily="18" charset="0"/>
                          </a:rPr>
                        </m:ctrlPr>
                      </m:dPr>
                      <m:e>
                        <m:f>
                          <m:fPr>
                            <m:ctrlPr>
                              <a:rPr lang="en-US" sz="1400" b="0" i="1">
                                <a:latin typeface="Cambria Math" panose="02040503050406030204" pitchFamily="18" charset="0"/>
                              </a:rPr>
                            </m:ctrlPr>
                          </m:fPr>
                          <m:num>
                            <m:r>
                              <a:rPr lang="en-US" sz="1400" b="0" i="1">
                                <a:latin typeface="Cambria Math" panose="02040503050406030204" pitchFamily="18" charset="0"/>
                              </a:rPr>
                              <m:t>𝑓</m:t>
                            </m:r>
                            <m:d>
                              <m:dPr>
                                <m:ctrlPr>
                                  <a:rPr lang="en-US" sz="1400" b="0" i="1">
                                    <a:latin typeface="Cambria Math" panose="02040503050406030204" pitchFamily="18" charset="0"/>
                                  </a:rPr>
                                </m:ctrlPr>
                              </m:dPr>
                              <m:e>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sub>
                                </m:sSub>
                              </m:e>
                            </m:d>
                          </m:num>
                          <m:den>
                            <m:sSup>
                              <m:sSupPr>
                                <m:ctrlPr>
                                  <a:rPr lang="en-US" sz="1400" b="0" i="1">
                                    <a:latin typeface="Cambria Math" panose="02040503050406030204" pitchFamily="18" charset="0"/>
                                  </a:rPr>
                                </m:ctrlPr>
                              </m:sSupPr>
                              <m:e>
                                <m:r>
                                  <a:rPr lang="en-US" sz="1400" b="0" i="1">
                                    <a:latin typeface="Cambria Math" panose="02040503050406030204" pitchFamily="18" charset="0"/>
                                  </a:rPr>
                                  <m:t>𝑓</m:t>
                                </m:r>
                              </m:e>
                              <m:sup>
                                <m:r>
                                  <a:rPr lang="en-US" sz="1400" b="0" i="1">
                                    <a:latin typeface="Cambria Math" panose="02040503050406030204" pitchFamily="18" charset="0"/>
                                  </a:rPr>
                                  <m:t>′</m:t>
                                </m:r>
                              </m:sup>
                            </m:sSup>
                            <m:d>
                              <m:dPr>
                                <m:ctrlPr>
                                  <a:rPr lang="en-US" sz="1400" b="0" i="1">
                                    <a:latin typeface="Cambria Math" panose="02040503050406030204" pitchFamily="18" charset="0"/>
                                  </a:rPr>
                                </m:ctrlPr>
                              </m:dPr>
                              <m:e>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sub>
                                </m:sSub>
                              </m:e>
                            </m:d>
                          </m:den>
                        </m:f>
                      </m:e>
                    </m:d>
                  </m:oMath>
                </m:oMathPara>
              </a14:m>
              <a:endParaRPr lang="en-US" sz="1400"/>
            </a:p>
          </xdr:txBody>
        </xdr:sp>
      </mc:Choice>
      <mc:Fallback>
        <xdr:sp macro="" textlink="">
          <xdr:nvSpPr>
            <xdr:cNvPr id="9" name="TextBox 8">
              <a:extLst>
                <a:ext uri="{FF2B5EF4-FFF2-40B4-BE49-F238E27FC236}">
                  <a16:creationId xmlns:a16="http://schemas.microsoft.com/office/drawing/2014/main" id="{8F4B92CE-D83C-40E7-842F-E77FA0ED1F66}"/>
                </a:ext>
              </a:extLst>
            </xdr:cNvPr>
            <xdr:cNvSpPr txBox="1"/>
          </xdr:nvSpPr>
          <xdr:spPr>
            <a:xfrm>
              <a:off x="5372100" y="4386262"/>
              <a:ext cx="1150443" cy="4840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400" b="0" i="0">
                  <a:latin typeface="Cambria Math" panose="02040503050406030204" pitchFamily="18" charset="0"/>
                </a:rPr>
                <a:t>𝑥_𝑛−(𝑓(𝑥_𝑛 )/(𝑓^′ (𝑥_𝑛 ) ))</a:t>
              </a:r>
              <a:endParaRPr lang="en-US" sz="1400"/>
            </a:p>
          </xdr:txBody>
        </xdr:sp>
      </mc:Fallback>
    </mc:AlternateContent>
    <xdr:clientData/>
  </xdr:oneCellAnchor>
  <xdr:oneCellAnchor>
    <xdr:from>
      <xdr:col>5</xdr:col>
      <xdr:colOff>466725</xdr:colOff>
      <xdr:row>13</xdr:row>
      <xdr:rowOff>90487</xdr:rowOff>
    </xdr:from>
    <xdr:ext cx="523220" cy="219163"/>
    <mc:AlternateContent xmlns:mc="http://schemas.openxmlformats.org/markup-compatibility/2006">
      <mc:Choice xmlns:a14="http://schemas.microsoft.com/office/drawing/2010/main" Requires="a14">
        <xdr:sp macro="" textlink="">
          <xdr:nvSpPr>
            <xdr:cNvPr id="11" name="TextBox 10">
              <a:extLst>
                <a:ext uri="{FF2B5EF4-FFF2-40B4-BE49-F238E27FC236}">
                  <a16:creationId xmlns:a16="http://schemas.microsoft.com/office/drawing/2014/main" id="{C4CD578E-342D-4551-ADAB-C5C24E3BAE26}"/>
                </a:ext>
              </a:extLst>
            </xdr:cNvPr>
            <xdr:cNvSpPr txBox="1"/>
          </xdr:nvSpPr>
          <xdr:spPr>
            <a:xfrm>
              <a:off x="4467225" y="4395787"/>
              <a:ext cx="523220"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Para xmlns:m="http://schemas.openxmlformats.org/officeDocument/2006/math">
                  <m:oMathParaPr>
                    <m:jc m:val="centerGroup"/>
                  </m:oMathParaPr>
                  <m:oMath xmlns:m="http://schemas.openxmlformats.org/officeDocument/2006/math">
                    <m:r>
                      <a:rPr lang="en-US" sz="1400" b="0" i="1">
                        <a:latin typeface="Cambria Math" panose="02040503050406030204" pitchFamily="18" charset="0"/>
                      </a:rPr>
                      <m:t>𝑓</m:t>
                    </m:r>
                    <m:r>
                      <a:rPr lang="en-US" sz="1400" b="0" i="1">
                        <a:latin typeface="Cambria Math" panose="02040503050406030204" pitchFamily="18" charset="0"/>
                      </a:rPr>
                      <m:t>′(</m:t>
                    </m:r>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sub>
                    </m:sSub>
                    <m:r>
                      <a:rPr lang="en-US" sz="1400" b="0" i="1">
                        <a:latin typeface="Cambria Math" panose="02040503050406030204" pitchFamily="18" charset="0"/>
                      </a:rPr>
                      <m:t>)</m:t>
                    </m:r>
                  </m:oMath>
                </m:oMathPara>
              </a14:m>
              <a:endParaRPr lang="en-US" sz="1400"/>
            </a:p>
          </xdr:txBody>
        </xdr:sp>
      </mc:Choice>
      <mc:Fallback>
        <xdr:sp macro="" textlink="">
          <xdr:nvSpPr>
            <xdr:cNvPr id="11" name="TextBox 10">
              <a:extLst>
                <a:ext uri="{FF2B5EF4-FFF2-40B4-BE49-F238E27FC236}">
                  <a16:creationId xmlns:a16="http://schemas.microsoft.com/office/drawing/2014/main" id="{C4CD578E-342D-4551-ADAB-C5C24E3BAE26}"/>
                </a:ext>
              </a:extLst>
            </xdr:cNvPr>
            <xdr:cNvSpPr txBox="1"/>
          </xdr:nvSpPr>
          <xdr:spPr>
            <a:xfrm>
              <a:off x="4467225" y="4395787"/>
              <a:ext cx="523220"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400" b="0" i="0">
                  <a:latin typeface="Cambria Math" panose="02040503050406030204" pitchFamily="18" charset="0"/>
                </a:rPr>
                <a:t>𝑓′(𝑥_𝑛)</a:t>
              </a:r>
              <a:endParaRPr lang="en-US" sz="1400"/>
            </a:p>
          </xdr:txBody>
        </xdr:sp>
      </mc:Fallback>
    </mc:AlternateContent>
    <xdr:clientData/>
  </xdr:oneCellAnchor>
  <xdr:oneCellAnchor>
    <xdr:from>
      <xdr:col>4</xdr:col>
      <xdr:colOff>504825</xdr:colOff>
      <xdr:row>13</xdr:row>
      <xdr:rowOff>80962</xdr:rowOff>
    </xdr:from>
    <xdr:ext cx="482120" cy="219163"/>
    <mc:AlternateContent xmlns:mc="http://schemas.openxmlformats.org/markup-compatibility/2006">
      <mc:Choice xmlns:a14="http://schemas.microsoft.com/office/drawing/2010/main" Requires="a14">
        <xdr:sp macro="" textlink="">
          <xdr:nvSpPr>
            <xdr:cNvPr id="12" name="TextBox 11">
              <a:extLst>
                <a:ext uri="{FF2B5EF4-FFF2-40B4-BE49-F238E27FC236}">
                  <a16:creationId xmlns:a16="http://schemas.microsoft.com/office/drawing/2014/main" id="{72937753-949A-46A1-BEDA-ECF0B1FEEBD7}"/>
                </a:ext>
              </a:extLst>
            </xdr:cNvPr>
            <xdr:cNvSpPr txBox="1"/>
          </xdr:nvSpPr>
          <xdr:spPr>
            <a:xfrm>
              <a:off x="3143250" y="4386262"/>
              <a:ext cx="482120"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Para xmlns:m="http://schemas.openxmlformats.org/officeDocument/2006/math">
                  <m:oMathParaPr>
                    <m:jc m:val="centerGroup"/>
                  </m:oMathParaPr>
                  <m:oMath xmlns:m="http://schemas.openxmlformats.org/officeDocument/2006/math">
                    <m:r>
                      <a:rPr lang="en-US" sz="1400" b="0" i="1">
                        <a:latin typeface="Cambria Math" panose="02040503050406030204" pitchFamily="18" charset="0"/>
                      </a:rPr>
                      <m:t>𝑓</m:t>
                    </m:r>
                    <m:r>
                      <a:rPr lang="en-US" sz="1400" b="0" i="1">
                        <a:latin typeface="Cambria Math" panose="02040503050406030204" pitchFamily="18" charset="0"/>
                      </a:rPr>
                      <m:t>(</m:t>
                    </m:r>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sub>
                    </m:sSub>
                    <m:r>
                      <a:rPr lang="en-US" sz="1400" b="0" i="1">
                        <a:latin typeface="Cambria Math" panose="02040503050406030204" pitchFamily="18" charset="0"/>
                      </a:rPr>
                      <m:t>)</m:t>
                    </m:r>
                  </m:oMath>
                </m:oMathPara>
              </a14:m>
              <a:endParaRPr lang="en-US" sz="1400"/>
            </a:p>
          </xdr:txBody>
        </xdr:sp>
      </mc:Choice>
      <mc:Fallback>
        <xdr:sp macro="" textlink="">
          <xdr:nvSpPr>
            <xdr:cNvPr id="12" name="TextBox 11">
              <a:extLst>
                <a:ext uri="{FF2B5EF4-FFF2-40B4-BE49-F238E27FC236}">
                  <a16:creationId xmlns:a16="http://schemas.microsoft.com/office/drawing/2014/main" id="{72937753-949A-46A1-BEDA-ECF0B1FEEBD7}"/>
                </a:ext>
              </a:extLst>
            </xdr:cNvPr>
            <xdr:cNvSpPr txBox="1"/>
          </xdr:nvSpPr>
          <xdr:spPr>
            <a:xfrm>
              <a:off x="3143250" y="4386262"/>
              <a:ext cx="482120"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400" b="0" i="0">
                  <a:latin typeface="Cambria Math" panose="02040503050406030204" pitchFamily="18" charset="0"/>
                </a:rPr>
                <a:t>𝑓(𝑥_𝑛)</a:t>
              </a:r>
              <a:endParaRPr lang="en-US" sz="1400"/>
            </a:p>
          </xdr:txBody>
        </xdr:sp>
      </mc:Fallback>
    </mc:AlternateContent>
    <xdr:clientData/>
  </xdr:oneCellAnchor>
  <xdr:oneCellAnchor>
    <xdr:from>
      <xdr:col>3</xdr:col>
      <xdr:colOff>485775</xdr:colOff>
      <xdr:row>13</xdr:row>
      <xdr:rowOff>138112</xdr:rowOff>
    </xdr:from>
    <xdr:ext cx="229165" cy="219163"/>
    <mc:AlternateContent xmlns:mc="http://schemas.openxmlformats.org/markup-compatibility/2006">
      <mc:Choice xmlns:a14="http://schemas.microsoft.com/office/drawing/2010/main" Requires="a14">
        <xdr:sp macro="" textlink="">
          <xdr:nvSpPr>
            <xdr:cNvPr id="13" name="TextBox 12">
              <a:extLst>
                <a:ext uri="{FF2B5EF4-FFF2-40B4-BE49-F238E27FC236}">
                  <a16:creationId xmlns:a16="http://schemas.microsoft.com/office/drawing/2014/main" id="{EF7189A0-04B4-4E34-A98E-12A3443994F2}"/>
                </a:ext>
              </a:extLst>
            </xdr:cNvPr>
            <xdr:cNvSpPr txBox="1"/>
          </xdr:nvSpPr>
          <xdr:spPr>
            <a:xfrm>
              <a:off x="2066925" y="4443412"/>
              <a:ext cx="229165"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Para xmlns:m="http://schemas.openxmlformats.org/officeDocument/2006/math">
                  <m:oMathParaPr>
                    <m:jc m:val="centerGroup"/>
                  </m:oMathParaPr>
                  <m:oMath xmlns:m="http://schemas.openxmlformats.org/officeDocument/2006/math">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sub>
                    </m:sSub>
                  </m:oMath>
                </m:oMathPara>
              </a14:m>
              <a:endParaRPr lang="en-US" sz="1400"/>
            </a:p>
          </xdr:txBody>
        </xdr:sp>
      </mc:Choice>
      <mc:Fallback>
        <xdr:sp macro="" textlink="">
          <xdr:nvSpPr>
            <xdr:cNvPr id="13" name="TextBox 12">
              <a:extLst>
                <a:ext uri="{FF2B5EF4-FFF2-40B4-BE49-F238E27FC236}">
                  <a16:creationId xmlns:a16="http://schemas.microsoft.com/office/drawing/2014/main" id="{EF7189A0-04B4-4E34-A98E-12A3443994F2}"/>
                </a:ext>
              </a:extLst>
            </xdr:cNvPr>
            <xdr:cNvSpPr txBox="1"/>
          </xdr:nvSpPr>
          <xdr:spPr>
            <a:xfrm>
              <a:off x="2066925" y="4443412"/>
              <a:ext cx="229165"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400" b="0" i="0">
                  <a:latin typeface="Cambria Math" panose="02040503050406030204" pitchFamily="18" charset="0"/>
                </a:rPr>
                <a:t>𝑥_𝑛</a:t>
              </a:r>
              <a:endParaRPr lang="en-US" sz="1400"/>
            </a:p>
          </xdr:txBody>
        </xdr:sp>
      </mc:Fallback>
    </mc:AlternateContent>
    <xdr:clientData/>
  </xdr:oneCellAnchor>
</xdr:wsDr>
</file>

<file path=xl/drawings/drawing12.xml><?xml version="1.0" encoding="utf-8"?>
<xdr:wsDr xmlns:xdr="http://schemas.openxmlformats.org/drawingml/2006/spreadsheetDrawing" xmlns:a="http://schemas.openxmlformats.org/drawingml/2006/main">
  <xdr:oneCellAnchor>
    <xdr:from>
      <xdr:col>3</xdr:col>
      <xdr:colOff>114300</xdr:colOff>
      <xdr:row>1</xdr:row>
      <xdr:rowOff>190500</xdr:rowOff>
    </xdr:from>
    <xdr:ext cx="1391856" cy="219163"/>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1943100" y="381000"/>
              <a:ext cx="1391856"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400" b="0" i="1">
                        <a:latin typeface="Cambria Math" panose="02040503050406030204" pitchFamily="18" charset="0"/>
                      </a:rPr>
                      <m:t>𝑓</m:t>
                    </m:r>
                    <m:d>
                      <m:dPr>
                        <m:ctrlPr>
                          <a:rPr lang="en-US" sz="1400" b="0" i="1">
                            <a:latin typeface="Cambria Math" panose="02040503050406030204" pitchFamily="18" charset="0"/>
                          </a:rPr>
                        </m:ctrlPr>
                      </m:dPr>
                      <m:e>
                        <m:r>
                          <a:rPr lang="en-US" sz="1400" b="0" i="1">
                            <a:latin typeface="Cambria Math" panose="02040503050406030204" pitchFamily="18" charset="0"/>
                          </a:rPr>
                          <m:t>𝑥</m:t>
                        </m:r>
                      </m:e>
                    </m:d>
                    <m:r>
                      <a:rPr lang="en-US" sz="1400" b="0" i="1">
                        <a:latin typeface="Cambria Math" panose="02040503050406030204" pitchFamily="18" charset="0"/>
                      </a:rPr>
                      <m:t>=</m:t>
                    </m:r>
                    <m:sSup>
                      <m:sSupPr>
                        <m:ctrlPr>
                          <a:rPr lang="en-US" sz="1400" b="0" i="1">
                            <a:latin typeface="Cambria Math" panose="02040503050406030204" pitchFamily="18" charset="0"/>
                          </a:rPr>
                        </m:ctrlPr>
                      </m:sSupPr>
                      <m:e>
                        <m:r>
                          <a:rPr lang="en-US" sz="1400" b="0" i="1">
                            <a:latin typeface="Cambria Math" panose="02040503050406030204" pitchFamily="18" charset="0"/>
                          </a:rPr>
                          <m:t>𝑒</m:t>
                        </m:r>
                      </m:e>
                      <m:sup>
                        <m:r>
                          <a:rPr lang="en-US" sz="1400" b="0" i="1">
                            <a:latin typeface="Cambria Math" panose="02040503050406030204" pitchFamily="18" charset="0"/>
                          </a:rPr>
                          <m:t>𝑥</m:t>
                        </m:r>
                      </m:sup>
                    </m:sSup>
                    <m:r>
                      <a:rPr lang="en-US" sz="1400" b="0" i="1">
                        <a:latin typeface="Cambria Math" panose="02040503050406030204" pitchFamily="18" charset="0"/>
                      </a:rPr>
                      <m:t>−</m:t>
                    </m:r>
                    <m:func>
                      <m:funcPr>
                        <m:ctrlPr>
                          <a:rPr lang="en-US" sz="1400" b="0" i="1">
                            <a:latin typeface="Cambria Math" panose="02040503050406030204" pitchFamily="18" charset="0"/>
                          </a:rPr>
                        </m:ctrlPr>
                      </m:funcPr>
                      <m:fName>
                        <m:r>
                          <m:rPr>
                            <m:sty m:val="p"/>
                          </m:rPr>
                          <a:rPr lang="en-US" sz="1400" b="0" i="0">
                            <a:latin typeface="Cambria Math" panose="02040503050406030204" pitchFamily="18" charset="0"/>
                          </a:rPr>
                          <m:t>sin</m:t>
                        </m:r>
                      </m:fName>
                      <m:e>
                        <m:r>
                          <a:rPr lang="en-US" sz="1400" b="0" i="1">
                            <a:latin typeface="Cambria Math" panose="02040503050406030204" pitchFamily="18" charset="0"/>
                          </a:rPr>
                          <m:t>𝑥</m:t>
                        </m:r>
                      </m:e>
                    </m:func>
                  </m:oMath>
                </m:oMathPara>
              </a14:m>
              <a:endParaRPr lang="en-US" sz="1400"/>
            </a:p>
          </xdr:txBody>
        </xdr:sp>
      </mc:Choice>
      <mc:Fallback xmlns="">
        <xdr:sp macro="" textlink="">
          <xdr:nvSpPr>
            <xdr:cNvPr id="2" name="TextBox 1">
              <a:extLst>
                <a:ext uri="{FF2B5EF4-FFF2-40B4-BE49-F238E27FC236}">
                  <a16:creationId xmlns:a16="http://schemas.microsoft.com/office/drawing/2014/main" id="{2B88DF44-82AA-4563-BCA1-9621F686C299}"/>
                </a:ext>
              </a:extLst>
            </xdr:cNvPr>
            <xdr:cNvSpPr txBox="1"/>
          </xdr:nvSpPr>
          <xdr:spPr>
            <a:xfrm>
              <a:off x="1943100" y="381000"/>
              <a:ext cx="1391856"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400" b="0" i="0">
                  <a:latin typeface="Cambria Math" panose="02040503050406030204" pitchFamily="18" charset="0"/>
                </a:rPr>
                <a:t>𝑓(𝑥)=𝑒^𝑥−sin⁡𝑥</a:t>
              </a:r>
              <a:endParaRPr lang="en-US" sz="1400"/>
            </a:p>
          </xdr:txBody>
        </xdr:sp>
      </mc:Fallback>
    </mc:AlternateContent>
    <xdr:clientData/>
  </xdr:oneCellAnchor>
  <xdr:oneCellAnchor>
    <xdr:from>
      <xdr:col>3</xdr:col>
      <xdr:colOff>133350</xdr:colOff>
      <xdr:row>2</xdr:row>
      <xdr:rowOff>66675</xdr:rowOff>
    </xdr:from>
    <xdr:ext cx="687176" cy="219163"/>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1962150" y="828675"/>
              <a:ext cx="687176"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0</m:t>
                        </m:r>
                      </m:sub>
                    </m:sSub>
                    <m:r>
                      <a:rPr lang="en-US" sz="1400" b="0" i="1">
                        <a:latin typeface="Cambria Math" panose="02040503050406030204" pitchFamily="18" charset="0"/>
                      </a:rPr>
                      <m:t>=0.5</m:t>
                    </m:r>
                  </m:oMath>
                </m:oMathPara>
              </a14:m>
              <a:endParaRPr lang="en-US" sz="1400"/>
            </a:p>
          </xdr:txBody>
        </xdr:sp>
      </mc:Choice>
      <mc:Fallback xmlns="">
        <xdr:sp macro="" textlink="">
          <xdr:nvSpPr>
            <xdr:cNvPr id="3" name="TextBox 2">
              <a:extLst>
                <a:ext uri="{FF2B5EF4-FFF2-40B4-BE49-F238E27FC236}">
                  <a16:creationId xmlns:a16="http://schemas.microsoft.com/office/drawing/2014/main" id="{4F82D1B8-EED7-44B0-B0B3-63600879E081}"/>
                </a:ext>
              </a:extLst>
            </xdr:cNvPr>
            <xdr:cNvSpPr txBox="1"/>
          </xdr:nvSpPr>
          <xdr:spPr>
            <a:xfrm>
              <a:off x="1962150" y="828675"/>
              <a:ext cx="687176"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400" b="0" i="0">
                  <a:latin typeface="Cambria Math" panose="02040503050406030204" pitchFamily="18" charset="0"/>
                </a:rPr>
                <a:t>𝑥_0=0.5</a:t>
              </a:r>
              <a:endParaRPr lang="en-US" sz="1400"/>
            </a:p>
          </xdr:txBody>
        </xdr:sp>
      </mc:Fallback>
    </mc:AlternateContent>
    <xdr:clientData/>
  </xdr:oneCellAnchor>
  <mc:AlternateContent xmlns:mc="http://schemas.openxmlformats.org/markup-compatibility/2006">
    <mc:Choice xmlns:a14="http://schemas.microsoft.com/office/drawing/2010/main" Requires="a14">
      <xdr:twoCellAnchor>
        <xdr:from>
          <xdr:col>1</xdr:col>
          <xdr:colOff>457200</xdr:colOff>
          <xdr:row>11</xdr:row>
          <xdr:rowOff>142875</xdr:rowOff>
        </xdr:from>
        <xdr:to>
          <xdr:col>7</xdr:col>
          <xdr:colOff>152400</xdr:colOff>
          <xdr:row>11</xdr:row>
          <xdr:rowOff>609600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C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Assignment 6(c)</a:t>
              </a:r>
            </a:p>
          </xdr:txBody>
        </xdr:sp>
        <xdr:clientData fPrintsWithSheet="0"/>
      </xdr:twoCellAnchor>
    </mc:Choice>
    <mc:Fallback/>
  </mc:AlternateContent>
  <xdr:oneCellAnchor>
    <xdr:from>
      <xdr:col>3</xdr:col>
      <xdr:colOff>76200</xdr:colOff>
      <xdr:row>12</xdr:row>
      <xdr:rowOff>219075</xdr:rowOff>
    </xdr:from>
    <xdr:ext cx="146642" cy="219163"/>
    <mc:AlternateContent xmlns:mc="http://schemas.openxmlformats.org/markup-compatibility/2006">
      <mc:Choice xmlns:a14="http://schemas.microsoft.com/office/drawing/2010/main" Requires="a14">
        <xdr:sp macro="" textlink="">
          <xdr:nvSpPr>
            <xdr:cNvPr id="5" name="TextBox 4">
              <a:extLst>
                <a:ext uri="{FF2B5EF4-FFF2-40B4-BE49-F238E27FC236}">
                  <a16:creationId xmlns:a16="http://schemas.microsoft.com/office/drawing/2014/main" id="{C3A06CD5-0FD2-4F81-8FB5-C7962DCCEF79}"/>
                </a:ext>
              </a:extLst>
            </xdr:cNvPr>
            <xdr:cNvSpPr txBox="1"/>
          </xdr:nvSpPr>
          <xdr:spPr>
            <a:xfrm>
              <a:off x="1905000" y="3743325"/>
              <a:ext cx="146642"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Para xmlns:m="http://schemas.openxmlformats.org/officeDocument/2006/math">
                  <m:oMathParaPr>
                    <m:jc m:val="centerGroup"/>
                  </m:oMathParaPr>
                  <m:oMath xmlns:m="http://schemas.openxmlformats.org/officeDocument/2006/math">
                    <m:r>
                      <a:rPr lang="en-US" sz="1400" b="0" i="1">
                        <a:latin typeface="Cambria Math" panose="02040503050406030204" pitchFamily="18" charset="0"/>
                      </a:rPr>
                      <m:t>𝑛</m:t>
                    </m:r>
                  </m:oMath>
                </m:oMathPara>
              </a14:m>
              <a:endParaRPr lang="en-US" sz="1400"/>
            </a:p>
          </xdr:txBody>
        </xdr:sp>
      </mc:Choice>
      <mc:Fallback>
        <xdr:sp macro="" textlink="">
          <xdr:nvSpPr>
            <xdr:cNvPr id="5" name="TextBox 4">
              <a:extLst>
                <a:ext uri="{FF2B5EF4-FFF2-40B4-BE49-F238E27FC236}">
                  <a16:creationId xmlns:a16="http://schemas.microsoft.com/office/drawing/2014/main" id="{C3A06CD5-0FD2-4F81-8FB5-C7962DCCEF79}"/>
                </a:ext>
              </a:extLst>
            </xdr:cNvPr>
            <xdr:cNvSpPr txBox="1"/>
          </xdr:nvSpPr>
          <xdr:spPr>
            <a:xfrm>
              <a:off x="1905000" y="3743325"/>
              <a:ext cx="146642"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400" b="0" i="0">
                  <a:latin typeface="Cambria Math" panose="02040503050406030204" pitchFamily="18" charset="0"/>
                </a:rPr>
                <a:t>𝑛</a:t>
              </a:r>
              <a:endParaRPr lang="en-US" sz="1400"/>
            </a:p>
          </xdr:txBody>
        </xdr:sp>
      </mc:Fallback>
    </mc:AlternateContent>
    <xdr:clientData/>
  </xdr:oneCellAnchor>
  <xdr:oneCellAnchor>
    <xdr:from>
      <xdr:col>8</xdr:col>
      <xdr:colOff>180975</xdr:colOff>
      <xdr:row>12</xdr:row>
      <xdr:rowOff>238125</xdr:rowOff>
    </xdr:from>
    <xdr:ext cx="791114" cy="219163"/>
    <mc:AlternateContent xmlns:mc="http://schemas.openxmlformats.org/markup-compatibility/2006">
      <mc:Choice xmlns:a14="http://schemas.microsoft.com/office/drawing/2010/main" Requires="a14">
        <xdr:sp macro="" textlink="">
          <xdr:nvSpPr>
            <xdr:cNvPr id="6" name="TextBox 5">
              <a:extLst>
                <a:ext uri="{FF2B5EF4-FFF2-40B4-BE49-F238E27FC236}">
                  <a16:creationId xmlns:a16="http://schemas.microsoft.com/office/drawing/2014/main" id="{EA5318AE-BC30-4A6E-B1FC-8FEE4453AE16}"/>
                </a:ext>
              </a:extLst>
            </xdr:cNvPr>
            <xdr:cNvSpPr txBox="1"/>
          </xdr:nvSpPr>
          <xdr:spPr>
            <a:xfrm>
              <a:off x="7477125" y="3762375"/>
              <a:ext cx="791114"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Para xmlns:m="http://schemas.openxmlformats.org/officeDocument/2006/math">
                  <m:oMathParaPr>
                    <m:jc m:val="centerGroup"/>
                  </m:oMathParaPr>
                  <m:oMath xmlns:m="http://schemas.openxmlformats.org/officeDocument/2006/math">
                    <m:sSub>
                      <m:sSubPr>
                        <m:ctrlPr>
                          <a:rPr lang="en-US" sz="1400" b="0" i="1">
                            <a:latin typeface="Cambria Math" panose="02040503050406030204" pitchFamily="18" charset="0"/>
                          </a:rPr>
                        </m:ctrlPr>
                      </m:sSubPr>
                      <m:e>
                        <m:r>
                          <a:rPr lang="en-US" sz="1400" b="0" i="1">
                            <a:latin typeface="Cambria Math" panose="02040503050406030204" pitchFamily="18" charset="0"/>
                          </a:rPr>
                          <m:t>𝜖</m:t>
                        </m:r>
                      </m:e>
                      <m:sub>
                        <m:r>
                          <a:rPr lang="en-US" sz="1400" b="0" i="1">
                            <a:latin typeface="Cambria Math" panose="02040503050406030204" pitchFamily="18" charset="0"/>
                          </a:rPr>
                          <m:t>𝑎</m:t>
                        </m:r>
                      </m:sub>
                    </m:sSub>
                    <m:r>
                      <a:rPr lang="en-US" sz="1400" b="0" i="1">
                        <a:latin typeface="Cambria Math" panose="02040503050406030204" pitchFamily="18" charset="0"/>
                      </a:rPr>
                      <m:t> (</m:t>
                    </m:r>
                    <m:r>
                      <a:rPr lang="en-US" sz="1400" b="0" i="1">
                        <a:latin typeface="Cambria Math" panose="02040503050406030204" pitchFamily="18" charset="0"/>
                      </a:rPr>
                      <m:t>𝑎𝑠</m:t>
                    </m:r>
                    <m:r>
                      <a:rPr lang="en-US" sz="1400" b="0" i="1">
                        <a:latin typeface="Cambria Math" panose="02040503050406030204" pitchFamily="18" charset="0"/>
                      </a:rPr>
                      <m:t> %)</m:t>
                    </m:r>
                  </m:oMath>
                </m:oMathPara>
              </a14:m>
              <a:endParaRPr lang="en-US" sz="1400"/>
            </a:p>
          </xdr:txBody>
        </xdr:sp>
      </mc:Choice>
      <mc:Fallback>
        <xdr:sp macro="" textlink="">
          <xdr:nvSpPr>
            <xdr:cNvPr id="6" name="TextBox 5">
              <a:extLst>
                <a:ext uri="{FF2B5EF4-FFF2-40B4-BE49-F238E27FC236}">
                  <a16:creationId xmlns:a16="http://schemas.microsoft.com/office/drawing/2014/main" id="{EA5318AE-BC30-4A6E-B1FC-8FEE4453AE16}"/>
                </a:ext>
              </a:extLst>
            </xdr:cNvPr>
            <xdr:cNvSpPr txBox="1"/>
          </xdr:nvSpPr>
          <xdr:spPr>
            <a:xfrm>
              <a:off x="7477125" y="3762375"/>
              <a:ext cx="791114"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400" b="0" i="0">
                  <a:latin typeface="Cambria Math" panose="02040503050406030204" pitchFamily="18" charset="0"/>
                </a:rPr>
                <a:t>𝜖_𝑎  (𝑎𝑠 %)</a:t>
              </a:r>
              <a:endParaRPr lang="en-US" sz="1400"/>
            </a:p>
          </xdr:txBody>
        </xdr:sp>
      </mc:Fallback>
    </mc:AlternateContent>
    <xdr:clientData/>
  </xdr:oneCellAnchor>
  <xdr:oneCellAnchor>
    <xdr:from>
      <xdr:col>7</xdr:col>
      <xdr:colOff>180975</xdr:colOff>
      <xdr:row>12</xdr:row>
      <xdr:rowOff>95250</xdr:rowOff>
    </xdr:from>
    <xdr:ext cx="1150443" cy="484043"/>
    <mc:AlternateContent xmlns:mc="http://schemas.openxmlformats.org/markup-compatibility/2006">
      <mc:Choice xmlns:a14="http://schemas.microsoft.com/office/drawing/2010/main" Requires="a14">
        <xdr:sp macro="" textlink="">
          <xdr:nvSpPr>
            <xdr:cNvPr id="7" name="TextBox 6">
              <a:extLst>
                <a:ext uri="{FF2B5EF4-FFF2-40B4-BE49-F238E27FC236}">
                  <a16:creationId xmlns:a16="http://schemas.microsoft.com/office/drawing/2014/main" id="{4CB222AE-9E54-4DCD-8BC1-1C5B14F20B1B}"/>
                </a:ext>
              </a:extLst>
            </xdr:cNvPr>
            <xdr:cNvSpPr txBox="1"/>
          </xdr:nvSpPr>
          <xdr:spPr>
            <a:xfrm>
              <a:off x="5991225" y="3619500"/>
              <a:ext cx="1150443" cy="4840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Para xmlns:m="http://schemas.openxmlformats.org/officeDocument/2006/math">
                  <m:oMathParaPr>
                    <m:jc m:val="centerGroup"/>
                  </m:oMathParaPr>
                  <m:oMath xmlns:m="http://schemas.openxmlformats.org/officeDocument/2006/math">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sub>
                    </m:sSub>
                    <m:r>
                      <a:rPr lang="en-US" sz="1400" b="0" i="1">
                        <a:latin typeface="Cambria Math" panose="02040503050406030204" pitchFamily="18" charset="0"/>
                      </a:rPr>
                      <m:t>−</m:t>
                    </m:r>
                    <m:d>
                      <m:dPr>
                        <m:ctrlPr>
                          <a:rPr lang="en-US" sz="1400" b="0" i="1">
                            <a:latin typeface="Cambria Math" panose="02040503050406030204" pitchFamily="18" charset="0"/>
                          </a:rPr>
                        </m:ctrlPr>
                      </m:dPr>
                      <m:e>
                        <m:f>
                          <m:fPr>
                            <m:ctrlPr>
                              <a:rPr lang="en-US" sz="1400" b="0" i="1">
                                <a:latin typeface="Cambria Math" panose="02040503050406030204" pitchFamily="18" charset="0"/>
                              </a:rPr>
                            </m:ctrlPr>
                          </m:fPr>
                          <m:num>
                            <m:r>
                              <a:rPr lang="en-US" sz="1400" b="0" i="1">
                                <a:latin typeface="Cambria Math" panose="02040503050406030204" pitchFamily="18" charset="0"/>
                              </a:rPr>
                              <m:t>𝑓</m:t>
                            </m:r>
                            <m:d>
                              <m:dPr>
                                <m:ctrlPr>
                                  <a:rPr lang="en-US" sz="1400" b="0" i="1">
                                    <a:latin typeface="Cambria Math" panose="02040503050406030204" pitchFamily="18" charset="0"/>
                                  </a:rPr>
                                </m:ctrlPr>
                              </m:dPr>
                              <m:e>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sub>
                                </m:sSub>
                              </m:e>
                            </m:d>
                          </m:num>
                          <m:den>
                            <m:sSup>
                              <m:sSupPr>
                                <m:ctrlPr>
                                  <a:rPr lang="en-US" sz="1400" b="0" i="1">
                                    <a:latin typeface="Cambria Math" panose="02040503050406030204" pitchFamily="18" charset="0"/>
                                  </a:rPr>
                                </m:ctrlPr>
                              </m:sSupPr>
                              <m:e>
                                <m:r>
                                  <a:rPr lang="en-US" sz="1400" b="0" i="1">
                                    <a:latin typeface="Cambria Math" panose="02040503050406030204" pitchFamily="18" charset="0"/>
                                  </a:rPr>
                                  <m:t>𝑓</m:t>
                                </m:r>
                              </m:e>
                              <m:sup>
                                <m:r>
                                  <a:rPr lang="en-US" sz="1400" b="0" i="1">
                                    <a:latin typeface="Cambria Math" panose="02040503050406030204" pitchFamily="18" charset="0"/>
                                  </a:rPr>
                                  <m:t>′</m:t>
                                </m:r>
                              </m:sup>
                            </m:sSup>
                            <m:d>
                              <m:dPr>
                                <m:ctrlPr>
                                  <a:rPr lang="en-US" sz="1400" b="0" i="1">
                                    <a:latin typeface="Cambria Math" panose="02040503050406030204" pitchFamily="18" charset="0"/>
                                  </a:rPr>
                                </m:ctrlPr>
                              </m:dPr>
                              <m:e>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sub>
                                </m:sSub>
                              </m:e>
                            </m:d>
                          </m:den>
                        </m:f>
                      </m:e>
                    </m:d>
                  </m:oMath>
                </m:oMathPara>
              </a14:m>
              <a:endParaRPr lang="en-US" sz="1400"/>
            </a:p>
          </xdr:txBody>
        </xdr:sp>
      </mc:Choice>
      <mc:Fallback>
        <xdr:sp macro="" textlink="">
          <xdr:nvSpPr>
            <xdr:cNvPr id="7" name="TextBox 6">
              <a:extLst>
                <a:ext uri="{FF2B5EF4-FFF2-40B4-BE49-F238E27FC236}">
                  <a16:creationId xmlns:a16="http://schemas.microsoft.com/office/drawing/2014/main" id="{4CB222AE-9E54-4DCD-8BC1-1C5B14F20B1B}"/>
                </a:ext>
              </a:extLst>
            </xdr:cNvPr>
            <xdr:cNvSpPr txBox="1"/>
          </xdr:nvSpPr>
          <xdr:spPr>
            <a:xfrm>
              <a:off x="5991225" y="3619500"/>
              <a:ext cx="1150443" cy="4840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400" b="0" i="0">
                  <a:latin typeface="Cambria Math" panose="02040503050406030204" pitchFamily="18" charset="0"/>
                </a:rPr>
                <a:t>𝑥_𝑛−(𝑓(𝑥_𝑛 )/(𝑓^′ (𝑥_𝑛 ) ))</a:t>
              </a:r>
              <a:endParaRPr lang="en-US" sz="1400"/>
            </a:p>
          </xdr:txBody>
        </xdr:sp>
      </mc:Fallback>
    </mc:AlternateContent>
    <xdr:clientData/>
  </xdr:oneCellAnchor>
  <xdr:oneCellAnchor>
    <xdr:from>
      <xdr:col>6</xdr:col>
      <xdr:colOff>390525</xdr:colOff>
      <xdr:row>12</xdr:row>
      <xdr:rowOff>228600</xdr:rowOff>
    </xdr:from>
    <xdr:ext cx="523220" cy="219163"/>
    <mc:AlternateContent xmlns:mc="http://schemas.openxmlformats.org/markup-compatibility/2006">
      <mc:Choice xmlns:a14="http://schemas.microsoft.com/office/drawing/2010/main" Requires="a14">
        <xdr:sp macro="" textlink="">
          <xdr:nvSpPr>
            <xdr:cNvPr id="8" name="TextBox 7">
              <a:extLst>
                <a:ext uri="{FF2B5EF4-FFF2-40B4-BE49-F238E27FC236}">
                  <a16:creationId xmlns:a16="http://schemas.microsoft.com/office/drawing/2014/main" id="{E984FEF5-BEA2-42BA-9135-FCE9BC699503}"/>
                </a:ext>
              </a:extLst>
            </xdr:cNvPr>
            <xdr:cNvSpPr txBox="1"/>
          </xdr:nvSpPr>
          <xdr:spPr>
            <a:xfrm>
              <a:off x="4914900" y="3752850"/>
              <a:ext cx="523220"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Para xmlns:m="http://schemas.openxmlformats.org/officeDocument/2006/math">
                  <m:oMathParaPr>
                    <m:jc m:val="centerGroup"/>
                  </m:oMathParaPr>
                  <m:oMath xmlns:m="http://schemas.openxmlformats.org/officeDocument/2006/math">
                    <m:r>
                      <a:rPr lang="en-US" sz="1400" b="0" i="1">
                        <a:latin typeface="Cambria Math" panose="02040503050406030204" pitchFamily="18" charset="0"/>
                      </a:rPr>
                      <m:t>𝑓</m:t>
                    </m:r>
                    <m:r>
                      <a:rPr lang="en-US" sz="1400" b="0" i="1">
                        <a:latin typeface="Cambria Math" panose="02040503050406030204" pitchFamily="18" charset="0"/>
                      </a:rPr>
                      <m:t>′(</m:t>
                    </m:r>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sub>
                    </m:sSub>
                    <m:r>
                      <a:rPr lang="en-US" sz="1400" b="0" i="1">
                        <a:latin typeface="Cambria Math" panose="02040503050406030204" pitchFamily="18" charset="0"/>
                      </a:rPr>
                      <m:t>)</m:t>
                    </m:r>
                  </m:oMath>
                </m:oMathPara>
              </a14:m>
              <a:endParaRPr lang="en-US" sz="1400"/>
            </a:p>
          </xdr:txBody>
        </xdr:sp>
      </mc:Choice>
      <mc:Fallback>
        <xdr:sp macro="" textlink="">
          <xdr:nvSpPr>
            <xdr:cNvPr id="8" name="TextBox 7">
              <a:extLst>
                <a:ext uri="{FF2B5EF4-FFF2-40B4-BE49-F238E27FC236}">
                  <a16:creationId xmlns:a16="http://schemas.microsoft.com/office/drawing/2014/main" id="{E984FEF5-BEA2-42BA-9135-FCE9BC699503}"/>
                </a:ext>
              </a:extLst>
            </xdr:cNvPr>
            <xdr:cNvSpPr txBox="1"/>
          </xdr:nvSpPr>
          <xdr:spPr>
            <a:xfrm>
              <a:off x="4914900" y="3752850"/>
              <a:ext cx="523220"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400" b="0" i="0">
                  <a:latin typeface="Cambria Math" panose="02040503050406030204" pitchFamily="18" charset="0"/>
                </a:rPr>
                <a:t>𝑓′(𝑥_𝑛)</a:t>
              </a:r>
              <a:endParaRPr lang="en-US" sz="1400"/>
            </a:p>
          </xdr:txBody>
        </xdr:sp>
      </mc:Fallback>
    </mc:AlternateContent>
    <xdr:clientData/>
  </xdr:oneCellAnchor>
  <xdr:oneCellAnchor>
    <xdr:from>
      <xdr:col>5</xdr:col>
      <xdr:colOff>485775</xdr:colOff>
      <xdr:row>12</xdr:row>
      <xdr:rowOff>200025</xdr:rowOff>
    </xdr:from>
    <xdr:ext cx="482120" cy="219163"/>
    <mc:AlternateContent xmlns:mc="http://schemas.openxmlformats.org/markup-compatibility/2006">
      <mc:Choice xmlns:a14="http://schemas.microsoft.com/office/drawing/2010/main" Requires="a14">
        <xdr:sp macro="" textlink="">
          <xdr:nvSpPr>
            <xdr:cNvPr id="9" name="TextBox 8">
              <a:extLst>
                <a:ext uri="{FF2B5EF4-FFF2-40B4-BE49-F238E27FC236}">
                  <a16:creationId xmlns:a16="http://schemas.microsoft.com/office/drawing/2014/main" id="{0809EDFB-EF65-4A86-9546-D70E170F1598}"/>
                </a:ext>
              </a:extLst>
            </xdr:cNvPr>
            <xdr:cNvSpPr txBox="1"/>
          </xdr:nvSpPr>
          <xdr:spPr>
            <a:xfrm>
              <a:off x="3705225" y="3724275"/>
              <a:ext cx="482120"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Para xmlns:m="http://schemas.openxmlformats.org/officeDocument/2006/math">
                  <m:oMathParaPr>
                    <m:jc m:val="centerGroup"/>
                  </m:oMathParaPr>
                  <m:oMath xmlns:m="http://schemas.openxmlformats.org/officeDocument/2006/math">
                    <m:r>
                      <a:rPr lang="en-US" sz="1400" b="0" i="1">
                        <a:latin typeface="Cambria Math" panose="02040503050406030204" pitchFamily="18" charset="0"/>
                      </a:rPr>
                      <m:t>𝑓</m:t>
                    </m:r>
                    <m:r>
                      <a:rPr lang="en-US" sz="1400" b="0" i="1">
                        <a:latin typeface="Cambria Math" panose="02040503050406030204" pitchFamily="18" charset="0"/>
                      </a:rPr>
                      <m:t>(</m:t>
                    </m:r>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sub>
                    </m:sSub>
                    <m:r>
                      <a:rPr lang="en-US" sz="1400" b="0" i="1">
                        <a:latin typeface="Cambria Math" panose="02040503050406030204" pitchFamily="18" charset="0"/>
                      </a:rPr>
                      <m:t>)</m:t>
                    </m:r>
                  </m:oMath>
                </m:oMathPara>
              </a14:m>
              <a:endParaRPr lang="en-US" sz="1400"/>
            </a:p>
          </xdr:txBody>
        </xdr:sp>
      </mc:Choice>
      <mc:Fallback>
        <xdr:sp macro="" textlink="">
          <xdr:nvSpPr>
            <xdr:cNvPr id="9" name="TextBox 8">
              <a:extLst>
                <a:ext uri="{FF2B5EF4-FFF2-40B4-BE49-F238E27FC236}">
                  <a16:creationId xmlns:a16="http://schemas.microsoft.com/office/drawing/2014/main" id="{0809EDFB-EF65-4A86-9546-D70E170F1598}"/>
                </a:ext>
              </a:extLst>
            </xdr:cNvPr>
            <xdr:cNvSpPr txBox="1"/>
          </xdr:nvSpPr>
          <xdr:spPr>
            <a:xfrm>
              <a:off x="3705225" y="3724275"/>
              <a:ext cx="482120"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400" b="0" i="0">
                  <a:latin typeface="Cambria Math" panose="02040503050406030204" pitchFamily="18" charset="0"/>
                </a:rPr>
                <a:t>𝑓(𝑥_𝑛)</a:t>
              </a:r>
              <a:endParaRPr lang="en-US" sz="1400"/>
            </a:p>
          </xdr:txBody>
        </xdr:sp>
      </mc:Fallback>
    </mc:AlternateContent>
    <xdr:clientData/>
  </xdr:oneCellAnchor>
  <xdr:oneCellAnchor>
    <xdr:from>
      <xdr:col>4</xdr:col>
      <xdr:colOff>466726</xdr:colOff>
      <xdr:row>12</xdr:row>
      <xdr:rowOff>200025</xdr:rowOff>
    </xdr:from>
    <xdr:ext cx="190500" cy="219163"/>
    <mc:AlternateContent xmlns:mc="http://schemas.openxmlformats.org/markup-compatibility/2006">
      <mc:Choice xmlns:a14="http://schemas.microsoft.com/office/drawing/2010/main" Requires="a14">
        <xdr:sp macro="" textlink="">
          <xdr:nvSpPr>
            <xdr:cNvPr id="10" name="TextBox 9">
              <a:extLst>
                <a:ext uri="{FF2B5EF4-FFF2-40B4-BE49-F238E27FC236}">
                  <a16:creationId xmlns:a16="http://schemas.microsoft.com/office/drawing/2014/main" id="{6742C50E-8E8C-47A7-B4D9-ADAC041844A6}"/>
                </a:ext>
              </a:extLst>
            </xdr:cNvPr>
            <xdr:cNvSpPr txBox="1"/>
          </xdr:nvSpPr>
          <xdr:spPr>
            <a:xfrm>
              <a:off x="2657476" y="3724275"/>
              <a:ext cx="190500"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14:m>
                <m:oMathPara xmlns:m="http://schemas.openxmlformats.org/officeDocument/2006/math">
                  <m:oMathParaPr>
                    <m:jc m:val="centerGroup"/>
                  </m:oMathParaPr>
                  <m:oMath xmlns:m="http://schemas.openxmlformats.org/officeDocument/2006/math">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sub>
                    </m:sSub>
                  </m:oMath>
                </m:oMathPara>
              </a14:m>
              <a:endParaRPr lang="en-US" sz="1400"/>
            </a:p>
          </xdr:txBody>
        </xdr:sp>
      </mc:Choice>
      <mc:Fallback>
        <xdr:sp macro="" textlink="">
          <xdr:nvSpPr>
            <xdr:cNvPr id="10" name="TextBox 9">
              <a:extLst>
                <a:ext uri="{FF2B5EF4-FFF2-40B4-BE49-F238E27FC236}">
                  <a16:creationId xmlns:a16="http://schemas.microsoft.com/office/drawing/2014/main" id="{6742C50E-8E8C-47A7-B4D9-ADAC041844A6}"/>
                </a:ext>
              </a:extLst>
            </xdr:cNvPr>
            <xdr:cNvSpPr txBox="1"/>
          </xdr:nvSpPr>
          <xdr:spPr>
            <a:xfrm>
              <a:off x="2657476" y="3724275"/>
              <a:ext cx="190500"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n-US" sz="1400" b="0" i="0">
                  <a:latin typeface="Cambria Math" panose="02040503050406030204" pitchFamily="18" charset="0"/>
                </a:rPr>
                <a:t>𝑥_𝑛</a:t>
              </a:r>
              <a:endParaRPr lang="en-US" sz="1400"/>
            </a:p>
          </xdr:txBody>
        </xdr:sp>
      </mc:Fallback>
    </mc:AlternateContent>
    <xdr:clientData/>
  </xdr:oneCellAnchor>
  <xdr:oneCellAnchor>
    <xdr:from>
      <xdr:col>15</xdr:col>
      <xdr:colOff>76200</xdr:colOff>
      <xdr:row>12</xdr:row>
      <xdr:rowOff>247650</xdr:rowOff>
    </xdr:from>
    <xdr:ext cx="146642" cy="219163"/>
    <mc:AlternateContent xmlns:mc="http://schemas.openxmlformats.org/markup-compatibility/2006">
      <mc:Choice xmlns:a14="http://schemas.microsoft.com/office/drawing/2010/main" Requires="a14">
        <xdr:sp macro="" textlink="">
          <xdr:nvSpPr>
            <xdr:cNvPr id="11" name="TextBox 10">
              <a:extLst>
                <a:ext uri="{FF2B5EF4-FFF2-40B4-BE49-F238E27FC236}">
                  <a16:creationId xmlns:a16="http://schemas.microsoft.com/office/drawing/2014/main" id="{663B47C8-C724-4354-BA78-9D5423E1DA1D}"/>
                </a:ext>
              </a:extLst>
            </xdr:cNvPr>
            <xdr:cNvSpPr txBox="1"/>
          </xdr:nvSpPr>
          <xdr:spPr>
            <a:xfrm>
              <a:off x="12125325" y="3771900"/>
              <a:ext cx="146642"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Para xmlns:m="http://schemas.openxmlformats.org/officeDocument/2006/math">
                  <m:oMathParaPr>
                    <m:jc m:val="centerGroup"/>
                  </m:oMathParaPr>
                  <m:oMath xmlns:m="http://schemas.openxmlformats.org/officeDocument/2006/math">
                    <m:r>
                      <a:rPr lang="en-US" sz="1400" b="0" i="1">
                        <a:latin typeface="Cambria Math" panose="02040503050406030204" pitchFamily="18" charset="0"/>
                      </a:rPr>
                      <m:t>𝑛</m:t>
                    </m:r>
                  </m:oMath>
                </m:oMathPara>
              </a14:m>
              <a:endParaRPr lang="en-US" sz="1400"/>
            </a:p>
          </xdr:txBody>
        </xdr:sp>
      </mc:Choice>
      <mc:Fallback>
        <xdr:sp macro="" textlink="">
          <xdr:nvSpPr>
            <xdr:cNvPr id="11" name="TextBox 10">
              <a:extLst>
                <a:ext uri="{FF2B5EF4-FFF2-40B4-BE49-F238E27FC236}">
                  <a16:creationId xmlns:a16="http://schemas.microsoft.com/office/drawing/2014/main" id="{663B47C8-C724-4354-BA78-9D5423E1DA1D}"/>
                </a:ext>
              </a:extLst>
            </xdr:cNvPr>
            <xdr:cNvSpPr txBox="1"/>
          </xdr:nvSpPr>
          <xdr:spPr>
            <a:xfrm>
              <a:off x="12125325" y="3771900"/>
              <a:ext cx="146642"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400" b="0" i="0">
                  <a:latin typeface="Cambria Math" panose="02040503050406030204" pitchFamily="18" charset="0"/>
                </a:rPr>
                <a:t>𝑛</a:t>
              </a:r>
              <a:endParaRPr lang="en-US" sz="1400"/>
            </a:p>
          </xdr:txBody>
        </xdr:sp>
      </mc:Fallback>
    </mc:AlternateContent>
    <xdr:clientData/>
  </xdr:oneCellAnchor>
  <xdr:oneCellAnchor>
    <xdr:from>
      <xdr:col>20</xdr:col>
      <xdr:colOff>190500</xdr:colOff>
      <xdr:row>12</xdr:row>
      <xdr:rowOff>219075</xdr:rowOff>
    </xdr:from>
    <xdr:ext cx="791114" cy="219163"/>
    <mc:AlternateContent xmlns:mc="http://schemas.openxmlformats.org/markup-compatibility/2006">
      <mc:Choice xmlns:a14="http://schemas.microsoft.com/office/drawing/2010/main" Requires="a14">
        <xdr:sp macro="" textlink="">
          <xdr:nvSpPr>
            <xdr:cNvPr id="12" name="TextBox 11">
              <a:extLst>
                <a:ext uri="{FF2B5EF4-FFF2-40B4-BE49-F238E27FC236}">
                  <a16:creationId xmlns:a16="http://schemas.microsoft.com/office/drawing/2014/main" id="{2FA95861-0643-44C0-9945-3E6558953BCE}"/>
                </a:ext>
              </a:extLst>
            </xdr:cNvPr>
            <xdr:cNvSpPr txBox="1"/>
          </xdr:nvSpPr>
          <xdr:spPr>
            <a:xfrm>
              <a:off x="18002250" y="3743325"/>
              <a:ext cx="791114"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Para xmlns:m="http://schemas.openxmlformats.org/officeDocument/2006/math">
                  <m:oMathParaPr>
                    <m:jc m:val="centerGroup"/>
                  </m:oMathParaPr>
                  <m:oMath xmlns:m="http://schemas.openxmlformats.org/officeDocument/2006/math">
                    <m:sSub>
                      <m:sSubPr>
                        <m:ctrlPr>
                          <a:rPr lang="en-US" sz="1400" b="0" i="1">
                            <a:latin typeface="Cambria Math" panose="02040503050406030204" pitchFamily="18" charset="0"/>
                          </a:rPr>
                        </m:ctrlPr>
                      </m:sSubPr>
                      <m:e>
                        <m:r>
                          <a:rPr lang="en-US" sz="1400" b="0" i="1">
                            <a:latin typeface="Cambria Math" panose="02040503050406030204" pitchFamily="18" charset="0"/>
                          </a:rPr>
                          <m:t>𝜖</m:t>
                        </m:r>
                      </m:e>
                      <m:sub>
                        <m:r>
                          <a:rPr lang="en-US" sz="1400" b="0" i="1">
                            <a:latin typeface="Cambria Math" panose="02040503050406030204" pitchFamily="18" charset="0"/>
                          </a:rPr>
                          <m:t>𝑎</m:t>
                        </m:r>
                      </m:sub>
                    </m:sSub>
                    <m:r>
                      <a:rPr lang="en-US" sz="1400" b="0" i="1">
                        <a:latin typeface="Cambria Math" panose="02040503050406030204" pitchFamily="18" charset="0"/>
                      </a:rPr>
                      <m:t> (</m:t>
                    </m:r>
                    <m:r>
                      <a:rPr lang="en-US" sz="1400" b="0" i="1">
                        <a:latin typeface="Cambria Math" panose="02040503050406030204" pitchFamily="18" charset="0"/>
                      </a:rPr>
                      <m:t>𝑎𝑠</m:t>
                    </m:r>
                    <m:r>
                      <a:rPr lang="en-US" sz="1400" b="0" i="1">
                        <a:latin typeface="Cambria Math" panose="02040503050406030204" pitchFamily="18" charset="0"/>
                      </a:rPr>
                      <m:t> %)</m:t>
                    </m:r>
                  </m:oMath>
                </m:oMathPara>
              </a14:m>
              <a:endParaRPr lang="en-US" sz="1400"/>
            </a:p>
          </xdr:txBody>
        </xdr:sp>
      </mc:Choice>
      <mc:Fallback>
        <xdr:sp macro="" textlink="">
          <xdr:nvSpPr>
            <xdr:cNvPr id="12" name="TextBox 11">
              <a:extLst>
                <a:ext uri="{FF2B5EF4-FFF2-40B4-BE49-F238E27FC236}">
                  <a16:creationId xmlns:a16="http://schemas.microsoft.com/office/drawing/2014/main" id="{2FA95861-0643-44C0-9945-3E6558953BCE}"/>
                </a:ext>
              </a:extLst>
            </xdr:cNvPr>
            <xdr:cNvSpPr txBox="1"/>
          </xdr:nvSpPr>
          <xdr:spPr>
            <a:xfrm>
              <a:off x="18002250" y="3743325"/>
              <a:ext cx="791114"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400" b="0" i="0">
                  <a:latin typeface="Cambria Math" panose="02040503050406030204" pitchFamily="18" charset="0"/>
                </a:rPr>
                <a:t>𝜖_𝑎  (𝑎𝑠 %)</a:t>
              </a:r>
              <a:endParaRPr lang="en-US" sz="1400"/>
            </a:p>
          </xdr:txBody>
        </xdr:sp>
      </mc:Fallback>
    </mc:AlternateContent>
    <xdr:clientData/>
  </xdr:oneCellAnchor>
  <xdr:oneCellAnchor>
    <xdr:from>
      <xdr:col>19</xdr:col>
      <xdr:colOff>285750</xdr:colOff>
      <xdr:row>12</xdr:row>
      <xdr:rowOff>95250</xdr:rowOff>
    </xdr:from>
    <xdr:ext cx="1150443" cy="484043"/>
    <mc:AlternateContent xmlns:mc="http://schemas.openxmlformats.org/markup-compatibility/2006">
      <mc:Choice xmlns:a14="http://schemas.microsoft.com/office/drawing/2010/main" Requires="a14">
        <xdr:sp macro="" textlink="">
          <xdr:nvSpPr>
            <xdr:cNvPr id="13" name="TextBox 12">
              <a:extLst>
                <a:ext uri="{FF2B5EF4-FFF2-40B4-BE49-F238E27FC236}">
                  <a16:creationId xmlns:a16="http://schemas.microsoft.com/office/drawing/2014/main" id="{26C329C9-2812-4377-BFEE-ADCDF192E9B0}"/>
                </a:ext>
              </a:extLst>
            </xdr:cNvPr>
            <xdr:cNvSpPr txBox="1"/>
          </xdr:nvSpPr>
          <xdr:spPr>
            <a:xfrm>
              <a:off x="16459200" y="3619500"/>
              <a:ext cx="1150443" cy="4840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Para xmlns:m="http://schemas.openxmlformats.org/officeDocument/2006/math">
                  <m:oMathParaPr>
                    <m:jc m:val="centerGroup"/>
                  </m:oMathParaPr>
                  <m:oMath xmlns:m="http://schemas.openxmlformats.org/officeDocument/2006/math">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sub>
                    </m:sSub>
                    <m:r>
                      <a:rPr lang="en-US" sz="1400" b="0" i="1">
                        <a:latin typeface="Cambria Math" panose="02040503050406030204" pitchFamily="18" charset="0"/>
                      </a:rPr>
                      <m:t>−</m:t>
                    </m:r>
                    <m:d>
                      <m:dPr>
                        <m:ctrlPr>
                          <a:rPr lang="en-US" sz="1400" b="0" i="1">
                            <a:latin typeface="Cambria Math" panose="02040503050406030204" pitchFamily="18" charset="0"/>
                          </a:rPr>
                        </m:ctrlPr>
                      </m:dPr>
                      <m:e>
                        <m:f>
                          <m:fPr>
                            <m:ctrlPr>
                              <a:rPr lang="en-US" sz="1400" b="0" i="1">
                                <a:latin typeface="Cambria Math" panose="02040503050406030204" pitchFamily="18" charset="0"/>
                              </a:rPr>
                            </m:ctrlPr>
                          </m:fPr>
                          <m:num>
                            <m:r>
                              <a:rPr lang="en-US" sz="1400" b="0" i="1">
                                <a:latin typeface="Cambria Math" panose="02040503050406030204" pitchFamily="18" charset="0"/>
                              </a:rPr>
                              <m:t>𝑓</m:t>
                            </m:r>
                            <m:d>
                              <m:dPr>
                                <m:ctrlPr>
                                  <a:rPr lang="en-US" sz="1400" b="0" i="1">
                                    <a:latin typeface="Cambria Math" panose="02040503050406030204" pitchFamily="18" charset="0"/>
                                  </a:rPr>
                                </m:ctrlPr>
                              </m:dPr>
                              <m:e>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sub>
                                </m:sSub>
                              </m:e>
                            </m:d>
                          </m:num>
                          <m:den>
                            <m:sSup>
                              <m:sSupPr>
                                <m:ctrlPr>
                                  <a:rPr lang="en-US" sz="1400" b="0" i="1">
                                    <a:latin typeface="Cambria Math" panose="02040503050406030204" pitchFamily="18" charset="0"/>
                                  </a:rPr>
                                </m:ctrlPr>
                              </m:sSupPr>
                              <m:e>
                                <m:r>
                                  <a:rPr lang="en-US" sz="1400" b="0" i="1">
                                    <a:latin typeface="Cambria Math" panose="02040503050406030204" pitchFamily="18" charset="0"/>
                                  </a:rPr>
                                  <m:t>𝑓</m:t>
                                </m:r>
                              </m:e>
                              <m:sup>
                                <m:r>
                                  <a:rPr lang="en-US" sz="1400" b="0" i="1">
                                    <a:latin typeface="Cambria Math" panose="02040503050406030204" pitchFamily="18" charset="0"/>
                                  </a:rPr>
                                  <m:t>′</m:t>
                                </m:r>
                              </m:sup>
                            </m:sSup>
                            <m:d>
                              <m:dPr>
                                <m:ctrlPr>
                                  <a:rPr lang="en-US" sz="1400" b="0" i="1">
                                    <a:latin typeface="Cambria Math" panose="02040503050406030204" pitchFamily="18" charset="0"/>
                                  </a:rPr>
                                </m:ctrlPr>
                              </m:dPr>
                              <m:e>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sub>
                                </m:sSub>
                              </m:e>
                            </m:d>
                          </m:den>
                        </m:f>
                      </m:e>
                    </m:d>
                  </m:oMath>
                </m:oMathPara>
              </a14:m>
              <a:endParaRPr lang="en-US" sz="1400"/>
            </a:p>
          </xdr:txBody>
        </xdr:sp>
      </mc:Choice>
      <mc:Fallback>
        <xdr:sp macro="" textlink="">
          <xdr:nvSpPr>
            <xdr:cNvPr id="13" name="TextBox 12">
              <a:extLst>
                <a:ext uri="{FF2B5EF4-FFF2-40B4-BE49-F238E27FC236}">
                  <a16:creationId xmlns:a16="http://schemas.microsoft.com/office/drawing/2014/main" id="{26C329C9-2812-4377-BFEE-ADCDF192E9B0}"/>
                </a:ext>
              </a:extLst>
            </xdr:cNvPr>
            <xdr:cNvSpPr txBox="1"/>
          </xdr:nvSpPr>
          <xdr:spPr>
            <a:xfrm>
              <a:off x="16459200" y="3619500"/>
              <a:ext cx="1150443" cy="4840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400" b="0" i="0">
                  <a:latin typeface="Cambria Math" panose="02040503050406030204" pitchFamily="18" charset="0"/>
                </a:rPr>
                <a:t>𝑥_𝑛−(𝑓(𝑥_𝑛 )/(𝑓^′ (𝑥_𝑛 ) ))</a:t>
              </a:r>
              <a:endParaRPr lang="en-US" sz="1400"/>
            </a:p>
          </xdr:txBody>
        </xdr:sp>
      </mc:Fallback>
    </mc:AlternateContent>
    <xdr:clientData/>
  </xdr:oneCellAnchor>
  <xdr:oneCellAnchor>
    <xdr:from>
      <xdr:col>18</xdr:col>
      <xdr:colOff>628650</xdr:colOff>
      <xdr:row>12</xdr:row>
      <xdr:rowOff>257175</xdr:rowOff>
    </xdr:from>
    <xdr:ext cx="523220" cy="219163"/>
    <mc:AlternateContent xmlns:mc="http://schemas.openxmlformats.org/markup-compatibility/2006">
      <mc:Choice xmlns:a14="http://schemas.microsoft.com/office/drawing/2010/main" Requires="a14">
        <xdr:sp macro="" textlink="">
          <xdr:nvSpPr>
            <xdr:cNvPr id="14" name="TextBox 13">
              <a:extLst>
                <a:ext uri="{FF2B5EF4-FFF2-40B4-BE49-F238E27FC236}">
                  <a16:creationId xmlns:a16="http://schemas.microsoft.com/office/drawing/2014/main" id="{5EBB122B-AF23-4DB6-8AD4-95A2F605B9BA}"/>
                </a:ext>
              </a:extLst>
            </xdr:cNvPr>
            <xdr:cNvSpPr txBox="1"/>
          </xdr:nvSpPr>
          <xdr:spPr>
            <a:xfrm>
              <a:off x="15135225" y="3781425"/>
              <a:ext cx="523220"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Para xmlns:m="http://schemas.openxmlformats.org/officeDocument/2006/math">
                  <m:oMathParaPr>
                    <m:jc m:val="centerGroup"/>
                  </m:oMathParaPr>
                  <m:oMath xmlns:m="http://schemas.openxmlformats.org/officeDocument/2006/math">
                    <m:r>
                      <a:rPr lang="en-US" sz="1400" b="0" i="1">
                        <a:latin typeface="Cambria Math" panose="02040503050406030204" pitchFamily="18" charset="0"/>
                      </a:rPr>
                      <m:t>𝑓</m:t>
                    </m:r>
                    <m:r>
                      <a:rPr lang="en-US" sz="1400" b="0" i="1">
                        <a:latin typeface="Cambria Math" panose="02040503050406030204" pitchFamily="18" charset="0"/>
                      </a:rPr>
                      <m:t>′(</m:t>
                    </m:r>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sub>
                    </m:sSub>
                    <m:r>
                      <a:rPr lang="en-US" sz="1400" b="0" i="1">
                        <a:latin typeface="Cambria Math" panose="02040503050406030204" pitchFamily="18" charset="0"/>
                      </a:rPr>
                      <m:t>)</m:t>
                    </m:r>
                  </m:oMath>
                </m:oMathPara>
              </a14:m>
              <a:endParaRPr lang="en-US" sz="1400"/>
            </a:p>
          </xdr:txBody>
        </xdr:sp>
      </mc:Choice>
      <mc:Fallback>
        <xdr:sp macro="" textlink="">
          <xdr:nvSpPr>
            <xdr:cNvPr id="14" name="TextBox 13">
              <a:extLst>
                <a:ext uri="{FF2B5EF4-FFF2-40B4-BE49-F238E27FC236}">
                  <a16:creationId xmlns:a16="http://schemas.microsoft.com/office/drawing/2014/main" id="{5EBB122B-AF23-4DB6-8AD4-95A2F605B9BA}"/>
                </a:ext>
              </a:extLst>
            </xdr:cNvPr>
            <xdr:cNvSpPr txBox="1"/>
          </xdr:nvSpPr>
          <xdr:spPr>
            <a:xfrm>
              <a:off x="15135225" y="3781425"/>
              <a:ext cx="523220"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400" b="0" i="0">
                  <a:latin typeface="Cambria Math" panose="02040503050406030204" pitchFamily="18" charset="0"/>
                </a:rPr>
                <a:t>𝑓′(𝑥_𝑛)</a:t>
              </a:r>
              <a:endParaRPr lang="en-US" sz="1400"/>
            </a:p>
          </xdr:txBody>
        </xdr:sp>
      </mc:Fallback>
    </mc:AlternateContent>
    <xdr:clientData/>
  </xdr:oneCellAnchor>
  <xdr:oneCellAnchor>
    <xdr:from>
      <xdr:col>17</xdr:col>
      <xdr:colOff>485775</xdr:colOff>
      <xdr:row>12</xdr:row>
      <xdr:rowOff>228600</xdr:rowOff>
    </xdr:from>
    <xdr:ext cx="482120" cy="219163"/>
    <mc:AlternateContent xmlns:mc="http://schemas.openxmlformats.org/markup-compatibility/2006">
      <mc:Choice xmlns:a14="http://schemas.microsoft.com/office/drawing/2010/main" Requires="a14">
        <xdr:sp macro="" textlink="">
          <xdr:nvSpPr>
            <xdr:cNvPr id="15" name="TextBox 14">
              <a:extLst>
                <a:ext uri="{FF2B5EF4-FFF2-40B4-BE49-F238E27FC236}">
                  <a16:creationId xmlns:a16="http://schemas.microsoft.com/office/drawing/2014/main" id="{557C3BE4-D253-460C-BB3E-724BE3B922A7}"/>
                </a:ext>
              </a:extLst>
            </xdr:cNvPr>
            <xdr:cNvSpPr txBox="1"/>
          </xdr:nvSpPr>
          <xdr:spPr>
            <a:xfrm>
              <a:off x="13925550" y="3752850"/>
              <a:ext cx="482120"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Para xmlns:m="http://schemas.openxmlformats.org/officeDocument/2006/math">
                  <m:oMathParaPr>
                    <m:jc m:val="centerGroup"/>
                  </m:oMathParaPr>
                  <m:oMath xmlns:m="http://schemas.openxmlformats.org/officeDocument/2006/math">
                    <m:r>
                      <a:rPr lang="en-US" sz="1400" b="0" i="1">
                        <a:latin typeface="Cambria Math" panose="02040503050406030204" pitchFamily="18" charset="0"/>
                      </a:rPr>
                      <m:t>𝑓</m:t>
                    </m:r>
                    <m:r>
                      <a:rPr lang="en-US" sz="1400" b="0" i="1">
                        <a:latin typeface="Cambria Math" panose="02040503050406030204" pitchFamily="18" charset="0"/>
                      </a:rPr>
                      <m:t>(</m:t>
                    </m:r>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sub>
                    </m:sSub>
                    <m:r>
                      <a:rPr lang="en-US" sz="1400" b="0" i="1">
                        <a:latin typeface="Cambria Math" panose="02040503050406030204" pitchFamily="18" charset="0"/>
                      </a:rPr>
                      <m:t>)</m:t>
                    </m:r>
                  </m:oMath>
                </m:oMathPara>
              </a14:m>
              <a:endParaRPr lang="en-US" sz="1400"/>
            </a:p>
          </xdr:txBody>
        </xdr:sp>
      </mc:Choice>
      <mc:Fallback>
        <xdr:sp macro="" textlink="">
          <xdr:nvSpPr>
            <xdr:cNvPr id="15" name="TextBox 14">
              <a:extLst>
                <a:ext uri="{FF2B5EF4-FFF2-40B4-BE49-F238E27FC236}">
                  <a16:creationId xmlns:a16="http://schemas.microsoft.com/office/drawing/2014/main" id="{557C3BE4-D253-460C-BB3E-724BE3B922A7}"/>
                </a:ext>
              </a:extLst>
            </xdr:cNvPr>
            <xdr:cNvSpPr txBox="1"/>
          </xdr:nvSpPr>
          <xdr:spPr>
            <a:xfrm>
              <a:off x="13925550" y="3752850"/>
              <a:ext cx="482120"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400" b="0" i="0">
                  <a:latin typeface="Cambria Math" panose="02040503050406030204" pitchFamily="18" charset="0"/>
                </a:rPr>
                <a:t>𝑓(𝑥_𝑛)</a:t>
              </a:r>
              <a:endParaRPr lang="en-US" sz="1400"/>
            </a:p>
          </xdr:txBody>
        </xdr:sp>
      </mc:Fallback>
    </mc:AlternateContent>
    <xdr:clientData/>
  </xdr:oneCellAnchor>
  <xdr:oneCellAnchor>
    <xdr:from>
      <xdr:col>16</xdr:col>
      <xdr:colOff>466726</xdr:colOff>
      <xdr:row>12</xdr:row>
      <xdr:rowOff>228600</xdr:rowOff>
    </xdr:from>
    <xdr:ext cx="190500" cy="219163"/>
    <mc:AlternateContent xmlns:mc="http://schemas.openxmlformats.org/markup-compatibility/2006">
      <mc:Choice xmlns:a14="http://schemas.microsoft.com/office/drawing/2010/main" Requires="a14">
        <xdr:sp macro="" textlink="">
          <xdr:nvSpPr>
            <xdr:cNvPr id="16" name="TextBox 15">
              <a:extLst>
                <a:ext uri="{FF2B5EF4-FFF2-40B4-BE49-F238E27FC236}">
                  <a16:creationId xmlns:a16="http://schemas.microsoft.com/office/drawing/2014/main" id="{251925F0-8AC1-4C11-AE16-3AD02B7434F3}"/>
                </a:ext>
              </a:extLst>
            </xdr:cNvPr>
            <xdr:cNvSpPr txBox="1"/>
          </xdr:nvSpPr>
          <xdr:spPr>
            <a:xfrm>
              <a:off x="12877801" y="3752850"/>
              <a:ext cx="190500"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14:m>
                <m:oMathPara xmlns:m="http://schemas.openxmlformats.org/officeDocument/2006/math">
                  <m:oMathParaPr>
                    <m:jc m:val="centerGroup"/>
                  </m:oMathParaPr>
                  <m:oMath xmlns:m="http://schemas.openxmlformats.org/officeDocument/2006/math">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sub>
                    </m:sSub>
                  </m:oMath>
                </m:oMathPara>
              </a14:m>
              <a:endParaRPr lang="en-US" sz="1400"/>
            </a:p>
          </xdr:txBody>
        </xdr:sp>
      </mc:Choice>
      <mc:Fallback>
        <xdr:sp macro="" textlink="">
          <xdr:nvSpPr>
            <xdr:cNvPr id="16" name="TextBox 15">
              <a:extLst>
                <a:ext uri="{FF2B5EF4-FFF2-40B4-BE49-F238E27FC236}">
                  <a16:creationId xmlns:a16="http://schemas.microsoft.com/office/drawing/2014/main" id="{251925F0-8AC1-4C11-AE16-3AD02B7434F3}"/>
                </a:ext>
              </a:extLst>
            </xdr:cNvPr>
            <xdr:cNvSpPr txBox="1"/>
          </xdr:nvSpPr>
          <xdr:spPr>
            <a:xfrm>
              <a:off x="12877801" y="3752850"/>
              <a:ext cx="190500"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n-US" sz="1400" b="0" i="0">
                  <a:latin typeface="Cambria Math" panose="02040503050406030204" pitchFamily="18" charset="0"/>
                </a:rPr>
                <a:t>𝑥_𝑛</a:t>
              </a:r>
              <a:endParaRPr lang="en-US" sz="1400"/>
            </a:p>
          </xdr:txBody>
        </xdr:sp>
      </mc:Fallback>
    </mc:AlternateContent>
    <xdr:clientData/>
  </xdr:oneCellAnchor>
</xdr:wsDr>
</file>

<file path=xl/drawings/drawing13.xml><?xml version="1.0" encoding="utf-8"?>
<xdr:wsDr xmlns:xdr="http://schemas.openxmlformats.org/drawingml/2006/spreadsheetDrawing" xmlns:a="http://schemas.openxmlformats.org/drawingml/2006/main">
  <xdr:oneCellAnchor>
    <xdr:from>
      <xdr:col>2</xdr:col>
      <xdr:colOff>123825</xdr:colOff>
      <xdr:row>5</xdr:row>
      <xdr:rowOff>385762</xdr:rowOff>
    </xdr:from>
    <xdr:ext cx="2700355" cy="219163"/>
    <mc:AlternateContent xmlns:mc="http://schemas.openxmlformats.org/markup-compatibility/2006">
      <mc:Choice xmlns:a14="http://schemas.microsoft.com/office/drawing/2010/main" Requires="a14">
        <xdr:sp macro="" textlink="">
          <xdr:nvSpPr>
            <xdr:cNvPr id="2" name="TextBox 1">
              <a:extLst>
                <a:ext uri="{FF2B5EF4-FFF2-40B4-BE49-F238E27FC236}">
                  <a16:creationId xmlns:a16="http://schemas.microsoft.com/office/drawing/2014/main" id="{5F9E0818-EE9C-40E3-ACFF-E70435C1A17B}"/>
                </a:ext>
              </a:extLst>
            </xdr:cNvPr>
            <xdr:cNvSpPr txBox="1"/>
          </xdr:nvSpPr>
          <xdr:spPr>
            <a:xfrm>
              <a:off x="1343025" y="1338262"/>
              <a:ext cx="2700355"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Para xmlns:m="http://schemas.openxmlformats.org/officeDocument/2006/math">
                  <m:oMathParaPr>
                    <m:jc m:val="centerGroup"/>
                  </m:oMathParaPr>
                  <m:oMath xmlns:m="http://schemas.openxmlformats.org/officeDocument/2006/math">
                    <m:r>
                      <a:rPr lang="en-US" sz="1400" b="0" i="1">
                        <a:latin typeface="Cambria Math" panose="02040503050406030204" pitchFamily="18" charset="0"/>
                      </a:rPr>
                      <m:t>𝑓</m:t>
                    </m:r>
                    <m:d>
                      <m:dPr>
                        <m:ctrlPr>
                          <a:rPr lang="en-US" sz="1400" b="0" i="1">
                            <a:latin typeface="Cambria Math" panose="02040503050406030204" pitchFamily="18" charset="0"/>
                          </a:rPr>
                        </m:ctrlPr>
                      </m:dPr>
                      <m:e>
                        <m:r>
                          <a:rPr lang="en-US" sz="1400" b="0" i="1">
                            <a:latin typeface="Cambria Math" panose="02040503050406030204" pitchFamily="18" charset="0"/>
                          </a:rPr>
                          <m:t>𝑥</m:t>
                        </m:r>
                      </m:e>
                    </m:d>
                    <m:r>
                      <a:rPr lang="en-US" sz="1400" b="0" i="1">
                        <a:latin typeface="Cambria Math" panose="02040503050406030204" pitchFamily="18" charset="0"/>
                      </a:rPr>
                      <m:t>=</m:t>
                    </m:r>
                    <m:func>
                      <m:funcPr>
                        <m:ctrlPr>
                          <a:rPr lang="en-US" sz="1400" b="0" i="1">
                            <a:latin typeface="Cambria Math" panose="02040503050406030204" pitchFamily="18" charset="0"/>
                          </a:rPr>
                        </m:ctrlPr>
                      </m:funcPr>
                      <m:fName>
                        <m:r>
                          <m:rPr>
                            <m:sty m:val="p"/>
                          </m:rPr>
                          <a:rPr lang="en-US" sz="1400" b="0" i="0">
                            <a:latin typeface="Cambria Math" panose="02040503050406030204" pitchFamily="18" charset="0"/>
                          </a:rPr>
                          <m:t>tan</m:t>
                        </m:r>
                      </m:fName>
                      <m:e>
                        <m:d>
                          <m:dPr>
                            <m:ctrlPr>
                              <a:rPr lang="en-US" sz="1400" b="0" i="1">
                                <a:latin typeface="Cambria Math" panose="02040503050406030204" pitchFamily="18" charset="0"/>
                              </a:rPr>
                            </m:ctrlPr>
                          </m:dPr>
                          <m:e>
                            <m:r>
                              <a:rPr lang="en-US" sz="1400" b="0" i="1">
                                <a:latin typeface="Cambria Math" panose="02040503050406030204" pitchFamily="18" charset="0"/>
                              </a:rPr>
                              <m:t>𝑥</m:t>
                            </m:r>
                          </m:e>
                        </m:d>
                      </m:e>
                    </m:func>
                    <m:r>
                      <a:rPr lang="en-US" sz="1400" b="0" i="1">
                        <a:latin typeface="Cambria Math" panose="02040503050406030204" pitchFamily="18" charset="0"/>
                      </a:rPr>
                      <m:t>−</m:t>
                    </m:r>
                    <m:func>
                      <m:funcPr>
                        <m:ctrlPr>
                          <a:rPr lang="en-US" sz="1400" b="0" i="1">
                            <a:latin typeface="Cambria Math" panose="02040503050406030204" pitchFamily="18" charset="0"/>
                          </a:rPr>
                        </m:ctrlPr>
                      </m:funcPr>
                      <m:fName>
                        <m:r>
                          <m:rPr>
                            <m:sty m:val="p"/>
                          </m:rPr>
                          <a:rPr lang="en-US" sz="1400" b="0" i="0">
                            <a:latin typeface="Cambria Math" panose="02040503050406030204" pitchFamily="18" charset="0"/>
                          </a:rPr>
                          <m:t>sin</m:t>
                        </m:r>
                      </m:fName>
                      <m:e>
                        <m:d>
                          <m:dPr>
                            <m:ctrlPr>
                              <a:rPr lang="en-US" sz="1400" b="0" i="1">
                                <a:latin typeface="Cambria Math" panose="02040503050406030204" pitchFamily="18" charset="0"/>
                              </a:rPr>
                            </m:ctrlPr>
                          </m:dPr>
                          <m:e>
                            <m:r>
                              <a:rPr lang="en-US" sz="1400" b="0" i="1">
                                <a:latin typeface="Cambria Math" panose="02040503050406030204" pitchFamily="18" charset="0"/>
                              </a:rPr>
                              <m:t>𝑥</m:t>
                            </m:r>
                          </m:e>
                        </m:d>
                      </m:e>
                    </m:func>
                    <m:r>
                      <a:rPr lang="en-US" sz="1400" b="0" i="1">
                        <a:latin typeface="Cambria Math" panose="02040503050406030204" pitchFamily="18" charset="0"/>
                      </a:rPr>
                      <m:t>−2.75=0</m:t>
                    </m:r>
                  </m:oMath>
                </m:oMathPara>
              </a14:m>
              <a:endParaRPr lang="en-US" sz="1400"/>
            </a:p>
          </xdr:txBody>
        </xdr:sp>
      </mc:Choice>
      <mc:Fallback>
        <xdr:sp macro="" textlink="">
          <xdr:nvSpPr>
            <xdr:cNvPr id="2" name="TextBox 1">
              <a:extLst>
                <a:ext uri="{FF2B5EF4-FFF2-40B4-BE49-F238E27FC236}">
                  <a16:creationId xmlns:a16="http://schemas.microsoft.com/office/drawing/2014/main" id="{5F9E0818-EE9C-40E3-ACFF-E70435C1A17B}"/>
                </a:ext>
              </a:extLst>
            </xdr:cNvPr>
            <xdr:cNvSpPr txBox="1"/>
          </xdr:nvSpPr>
          <xdr:spPr>
            <a:xfrm>
              <a:off x="1343025" y="1338262"/>
              <a:ext cx="2700355"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400" b="0" i="0">
                  <a:latin typeface="Cambria Math" panose="02040503050406030204" pitchFamily="18" charset="0"/>
                </a:rPr>
                <a:t>𝑓(𝑥)=tan⁡(𝑥)−sin⁡(𝑥)−2.75=0</a:t>
              </a:r>
              <a:endParaRPr lang="en-US" sz="1400"/>
            </a:p>
          </xdr:txBody>
        </xdr:sp>
      </mc:Fallback>
    </mc:AlternateContent>
    <xdr:clientData/>
  </xdr:oneCellAnchor>
  <xdr:oneCellAnchor>
    <xdr:from>
      <xdr:col>3</xdr:col>
      <xdr:colOff>742950</xdr:colOff>
      <xdr:row>6</xdr:row>
      <xdr:rowOff>90487</xdr:rowOff>
    </xdr:from>
    <xdr:ext cx="2420534" cy="407612"/>
    <mc:AlternateContent xmlns:mc="http://schemas.openxmlformats.org/markup-compatibility/2006">
      <mc:Choice xmlns:a14="http://schemas.microsoft.com/office/drawing/2010/main" Requires="a14">
        <xdr:sp macro="" textlink="">
          <xdr:nvSpPr>
            <xdr:cNvPr id="3" name="TextBox 2">
              <a:extLst>
                <a:ext uri="{FF2B5EF4-FFF2-40B4-BE49-F238E27FC236}">
                  <a16:creationId xmlns:a16="http://schemas.microsoft.com/office/drawing/2014/main" id="{3956B15B-5CD8-42BC-9EA9-82CEFCFE6386}"/>
                </a:ext>
              </a:extLst>
            </xdr:cNvPr>
            <xdr:cNvSpPr txBox="1"/>
          </xdr:nvSpPr>
          <xdr:spPr>
            <a:xfrm>
              <a:off x="3038475" y="1985962"/>
              <a:ext cx="2420534" cy="4076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Para xmlns:m="http://schemas.openxmlformats.org/officeDocument/2006/math">
                  <m:oMathParaPr>
                    <m:jc m:val="centerGroup"/>
                  </m:oMathParaPr>
                  <m:oMath xmlns:m="http://schemas.openxmlformats.org/officeDocument/2006/math">
                    <m:sSub>
                      <m:sSubPr>
                        <m:ctrlPr>
                          <a:rPr lang="en-US" sz="1400" b="0" i="1">
                            <a:latin typeface="Cambria Math" panose="02040503050406030204" pitchFamily="18" charset="0"/>
                          </a:rPr>
                        </m:ctrlPr>
                      </m:sSubPr>
                      <m:e>
                        <m:r>
                          <a:rPr lang="en-US" sz="1400" b="0" i="1">
                            <a:latin typeface="Cambria Math" panose="02040503050406030204" pitchFamily="18" charset="0"/>
                          </a:rPr>
                          <m:t>𝜖</m:t>
                        </m:r>
                      </m:e>
                      <m:sub>
                        <m:r>
                          <a:rPr lang="en-US" sz="1400" b="0" i="1">
                            <a:latin typeface="Cambria Math" panose="02040503050406030204" pitchFamily="18" charset="0"/>
                          </a:rPr>
                          <m:t>𝑎</m:t>
                        </m:r>
                      </m:sub>
                    </m:sSub>
                    <m:d>
                      <m:dPr>
                        <m:begChr m:val="|"/>
                        <m:endChr m:val="|"/>
                        <m:ctrlPr>
                          <a:rPr lang="en-US" sz="1400" b="0" i="1">
                            <a:latin typeface="Cambria Math" panose="02040503050406030204" pitchFamily="18" charset="0"/>
                          </a:rPr>
                        </m:ctrlPr>
                      </m:dPr>
                      <m:e>
                        <m:f>
                          <m:fPr>
                            <m:ctrlPr>
                              <a:rPr lang="en-US" sz="1400" b="0" i="1">
                                <a:latin typeface="Cambria Math" panose="02040503050406030204" pitchFamily="18" charset="0"/>
                              </a:rPr>
                            </m:ctrlPr>
                          </m:fPr>
                          <m:num>
                            <m:r>
                              <a:rPr lang="en-US" sz="1400" b="0" i="1">
                                <a:latin typeface="Cambria Math" panose="02040503050406030204" pitchFamily="18" charset="0"/>
                              </a:rPr>
                              <m:t>𝑐𝑢𝑟𝑟𝑒𝑛𝑡</m:t>
                            </m:r>
                            <m:r>
                              <a:rPr lang="en-US" sz="1400" b="0" i="1">
                                <a:latin typeface="Cambria Math" panose="02040503050406030204" pitchFamily="18" charset="0"/>
                              </a:rPr>
                              <m:t>−</m:t>
                            </m:r>
                            <m:r>
                              <a:rPr lang="en-US" sz="1400" b="0" i="1">
                                <a:latin typeface="Cambria Math" panose="02040503050406030204" pitchFamily="18" charset="0"/>
                              </a:rPr>
                              <m:t>𝑝𝑟𝑒𝑣𝑖𝑜𝑢𝑠</m:t>
                            </m:r>
                          </m:num>
                          <m:den>
                            <m:r>
                              <a:rPr lang="en-US" sz="1400" b="0" i="1">
                                <a:latin typeface="Cambria Math" panose="02040503050406030204" pitchFamily="18" charset="0"/>
                              </a:rPr>
                              <m:t>𝑐𝑢𝑟𝑟𝑒𝑛𝑡</m:t>
                            </m:r>
                          </m:den>
                        </m:f>
                      </m:e>
                    </m:d>
                    <m:r>
                      <a:rPr lang="en-US" sz="1400" b="0" i="1">
                        <a:latin typeface="Cambria Math" panose="02040503050406030204" pitchFamily="18" charset="0"/>
                      </a:rPr>
                      <m:t>×100</m:t>
                    </m:r>
                  </m:oMath>
                </m:oMathPara>
              </a14:m>
              <a:endParaRPr lang="en-US" sz="1400"/>
            </a:p>
          </xdr:txBody>
        </xdr:sp>
      </mc:Choice>
      <mc:Fallback>
        <xdr:sp macro="" textlink="">
          <xdr:nvSpPr>
            <xdr:cNvPr id="3" name="TextBox 2">
              <a:extLst>
                <a:ext uri="{FF2B5EF4-FFF2-40B4-BE49-F238E27FC236}">
                  <a16:creationId xmlns:a16="http://schemas.microsoft.com/office/drawing/2014/main" id="{3956B15B-5CD8-42BC-9EA9-82CEFCFE6386}"/>
                </a:ext>
              </a:extLst>
            </xdr:cNvPr>
            <xdr:cNvSpPr txBox="1"/>
          </xdr:nvSpPr>
          <xdr:spPr>
            <a:xfrm>
              <a:off x="3038475" y="1985962"/>
              <a:ext cx="2420534" cy="4076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400" b="0" i="0">
                  <a:latin typeface="Cambria Math" panose="02040503050406030204" pitchFamily="18" charset="0"/>
                </a:rPr>
                <a:t>𝜖_𝑎 |(𝑐𝑢𝑟𝑟𝑒𝑛𝑡−𝑝𝑟𝑒𝑣𝑖𝑜𝑢𝑠)/𝑐𝑢𝑟𝑟𝑒𝑛𝑡|×100</a:t>
              </a:r>
              <a:endParaRPr lang="en-US" sz="1400"/>
            </a:p>
          </xdr:txBody>
        </xdr:sp>
      </mc:Fallback>
    </mc:AlternateContent>
    <xdr:clientData/>
  </xdr:oneCellAnchor>
  <xdr:oneCellAnchor>
    <xdr:from>
      <xdr:col>1</xdr:col>
      <xdr:colOff>551330</xdr:colOff>
      <xdr:row>9</xdr:row>
      <xdr:rowOff>49025</xdr:rowOff>
    </xdr:from>
    <xdr:ext cx="229165" cy="219163"/>
    <mc:AlternateContent xmlns:mc="http://schemas.openxmlformats.org/markup-compatibility/2006">
      <mc:Choice xmlns:a14="http://schemas.microsoft.com/office/drawing/2010/main" Requires="a14">
        <xdr:sp macro="" textlink="">
          <xdr:nvSpPr>
            <xdr:cNvPr id="4" name="TextBox 3">
              <a:extLst>
                <a:ext uri="{FF2B5EF4-FFF2-40B4-BE49-F238E27FC236}">
                  <a16:creationId xmlns:a16="http://schemas.microsoft.com/office/drawing/2014/main" id="{7726F427-3452-4669-9390-33ADE372BFDA}"/>
                </a:ext>
              </a:extLst>
            </xdr:cNvPr>
            <xdr:cNvSpPr txBox="1"/>
          </xdr:nvSpPr>
          <xdr:spPr>
            <a:xfrm>
              <a:off x="954742" y="2940143"/>
              <a:ext cx="229165"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Para xmlns:m="http://schemas.openxmlformats.org/officeDocument/2006/math">
                  <m:oMathParaPr>
                    <m:jc m:val="centerGroup"/>
                  </m:oMathParaPr>
                  <m:oMath xmlns:m="http://schemas.openxmlformats.org/officeDocument/2006/math">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sub>
                    </m:sSub>
                  </m:oMath>
                </m:oMathPara>
              </a14:m>
              <a:endParaRPr lang="en-US" sz="1400"/>
            </a:p>
          </xdr:txBody>
        </xdr:sp>
      </mc:Choice>
      <mc:Fallback>
        <xdr:sp macro="" textlink="">
          <xdr:nvSpPr>
            <xdr:cNvPr id="4" name="TextBox 3">
              <a:extLst>
                <a:ext uri="{FF2B5EF4-FFF2-40B4-BE49-F238E27FC236}">
                  <a16:creationId xmlns:a16="http://schemas.microsoft.com/office/drawing/2014/main" id="{7726F427-3452-4669-9390-33ADE372BFDA}"/>
                </a:ext>
              </a:extLst>
            </xdr:cNvPr>
            <xdr:cNvSpPr txBox="1"/>
          </xdr:nvSpPr>
          <xdr:spPr>
            <a:xfrm>
              <a:off x="954742" y="2940143"/>
              <a:ext cx="229165"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400" b="0" i="0">
                  <a:latin typeface="Cambria Math" panose="02040503050406030204" pitchFamily="18" charset="0"/>
                </a:rPr>
                <a:t>𝑥_𝑛</a:t>
              </a:r>
              <a:endParaRPr lang="en-US" sz="1400"/>
            </a:p>
          </xdr:txBody>
        </xdr:sp>
      </mc:Fallback>
    </mc:AlternateContent>
    <xdr:clientData/>
  </xdr:oneCellAnchor>
  <xdr:oneCellAnchor>
    <xdr:from>
      <xdr:col>2</xdr:col>
      <xdr:colOff>304800</xdr:colOff>
      <xdr:row>9</xdr:row>
      <xdr:rowOff>61912</xdr:rowOff>
    </xdr:from>
    <xdr:ext cx="400366" cy="219163"/>
    <mc:AlternateContent xmlns:mc="http://schemas.openxmlformats.org/markup-compatibility/2006">
      <mc:Choice xmlns:a14="http://schemas.microsoft.com/office/drawing/2010/main" Requires="a14">
        <xdr:sp macro="" textlink="">
          <xdr:nvSpPr>
            <xdr:cNvPr id="5" name="TextBox 4">
              <a:extLst>
                <a:ext uri="{FF2B5EF4-FFF2-40B4-BE49-F238E27FC236}">
                  <a16:creationId xmlns:a16="http://schemas.microsoft.com/office/drawing/2014/main" id="{D717A549-593F-4CFE-80CE-BD392EA4880F}"/>
                </a:ext>
              </a:extLst>
            </xdr:cNvPr>
            <xdr:cNvSpPr txBox="1"/>
          </xdr:nvSpPr>
          <xdr:spPr>
            <a:xfrm>
              <a:off x="1876425" y="2957512"/>
              <a:ext cx="400366"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Para xmlns:m="http://schemas.openxmlformats.org/officeDocument/2006/math">
                  <m:oMathParaPr>
                    <m:jc m:val="centerGroup"/>
                  </m:oMathParaPr>
                  <m:oMath xmlns:m="http://schemas.openxmlformats.org/officeDocument/2006/math">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r>
                          <a:rPr lang="en-US" sz="1400" b="0" i="1">
                            <a:latin typeface="Cambria Math" panose="02040503050406030204" pitchFamily="18" charset="0"/>
                          </a:rPr>
                          <m:t>−1</m:t>
                        </m:r>
                      </m:sub>
                    </m:sSub>
                  </m:oMath>
                </m:oMathPara>
              </a14:m>
              <a:endParaRPr lang="en-US" sz="1400"/>
            </a:p>
          </xdr:txBody>
        </xdr:sp>
      </mc:Choice>
      <mc:Fallback>
        <xdr:sp macro="" textlink="">
          <xdr:nvSpPr>
            <xdr:cNvPr id="5" name="TextBox 4">
              <a:extLst>
                <a:ext uri="{FF2B5EF4-FFF2-40B4-BE49-F238E27FC236}">
                  <a16:creationId xmlns:a16="http://schemas.microsoft.com/office/drawing/2014/main" id="{D717A549-593F-4CFE-80CE-BD392EA4880F}"/>
                </a:ext>
              </a:extLst>
            </xdr:cNvPr>
            <xdr:cNvSpPr txBox="1"/>
          </xdr:nvSpPr>
          <xdr:spPr>
            <a:xfrm>
              <a:off x="1876425" y="2957512"/>
              <a:ext cx="400366"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400" b="0" i="0">
                  <a:latin typeface="Cambria Math" panose="02040503050406030204" pitchFamily="18" charset="0"/>
                </a:rPr>
                <a:t>𝑥_(𝑛−1)</a:t>
              </a:r>
              <a:endParaRPr lang="en-US" sz="1400"/>
            </a:p>
          </xdr:txBody>
        </xdr:sp>
      </mc:Fallback>
    </mc:AlternateContent>
    <xdr:clientData/>
  </xdr:oneCellAnchor>
  <xdr:oneCellAnchor>
    <xdr:from>
      <xdr:col>3</xdr:col>
      <xdr:colOff>266700</xdr:colOff>
      <xdr:row>9</xdr:row>
      <xdr:rowOff>71437</xdr:rowOff>
    </xdr:from>
    <xdr:ext cx="482120" cy="219163"/>
    <mc:AlternateContent xmlns:mc="http://schemas.openxmlformats.org/markup-compatibility/2006">
      <mc:Choice xmlns:a14="http://schemas.microsoft.com/office/drawing/2010/main" Requires="a14">
        <xdr:sp macro="" textlink="">
          <xdr:nvSpPr>
            <xdr:cNvPr id="6" name="TextBox 5">
              <a:extLst>
                <a:ext uri="{FF2B5EF4-FFF2-40B4-BE49-F238E27FC236}">
                  <a16:creationId xmlns:a16="http://schemas.microsoft.com/office/drawing/2014/main" id="{202F2221-92DF-4AF6-B3B6-0E345F827868}"/>
                </a:ext>
              </a:extLst>
            </xdr:cNvPr>
            <xdr:cNvSpPr txBox="1"/>
          </xdr:nvSpPr>
          <xdr:spPr>
            <a:xfrm>
              <a:off x="2771775" y="2967037"/>
              <a:ext cx="482120"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Para xmlns:m="http://schemas.openxmlformats.org/officeDocument/2006/math">
                  <m:oMathParaPr>
                    <m:jc m:val="centerGroup"/>
                  </m:oMathParaPr>
                  <m:oMath xmlns:m="http://schemas.openxmlformats.org/officeDocument/2006/math">
                    <m:r>
                      <a:rPr lang="en-US" sz="1400" b="0" i="1">
                        <a:latin typeface="Cambria Math" panose="02040503050406030204" pitchFamily="18" charset="0"/>
                      </a:rPr>
                      <m:t>𝑓</m:t>
                    </m:r>
                    <m:r>
                      <a:rPr lang="en-US" sz="1400" b="0" i="1">
                        <a:latin typeface="Cambria Math" panose="02040503050406030204" pitchFamily="18" charset="0"/>
                      </a:rPr>
                      <m:t>(</m:t>
                    </m:r>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sub>
                    </m:sSub>
                    <m:r>
                      <a:rPr lang="en-US" sz="1400" b="0" i="1">
                        <a:latin typeface="Cambria Math" panose="02040503050406030204" pitchFamily="18" charset="0"/>
                      </a:rPr>
                      <m:t>)</m:t>
                    </m:r>
                  </m:oMath>
                </m:oMathPara>
              </a14:m>
              <a:endParaRPr lang="en-US" sz="1400"/>
            </a:p>
          </xdr:txBody>
        </xdr:sp>
      </mc:Choice>
      <mc:Fallback>
        <xdr:sp macro="" textlink="">
          <xdr:nvSpPr>
            <xdr:cNvPr id="6" name="TextBox 5">
              <a:extLst>
                <a:ext uri="{FF2B5EF4-FFF2-40B4-BE49-F238E27FC236}">
                  <a16:creationId xmlns:a16="http://schemas.microsoft.com/office/drawing/2014/main" id="{202F2221-92DF-4AF6-B3B6-0E345F827868}"/>
                </a:ext>
              </a:extLst>
            </xdr:cNvPr>
            <xdr:cNvSpPr txBox="1"/>
          </xdr:nvSpPr>
          <xdr:spPr>
            <a:xfrm>
              <a:off x="2771775" y="2967037"/>
              <a:ext cx="482120"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400" b="0" i="0">
                  <a:latin typeface="Cambria Math" panose="02040503050406030204" pitchFamily="18" charset="0"/>
                </a:rPr>
                <a:t>𝑓(𝑥_𝑛)</a:t>
              </a:r>
              <a:endParaRPr lang="en-US" sz="1400"/>
            </a:p>
          </xdr:txBody>
        </xdr:sp>
      </mc:Fallback>
    </mc:AlternateContent>
    <xdr:clientData/>
  </xdr:oneCellAnchor>
  <xdr:oneCellAnchor>
    <xdr:from>
      <xdr:col>4</xdr:col>
      <xdr:colOff>228600</xdr:colOff>
      <xdr:row>9</xdr:row>
      <xdr:rowOff>42862</xdr:rowOff>
    </xdr:from>
    <xdr:ext cx="592663" cy="219163"/>
    <mc:AlternateContent xmlns:mc="http://schemas.openxmlformats.org/markup-compatibility/2006">
      <mc:Choice xmlns:a14="http://schemas.microsoft.com/office/drawing/2010/main" Requires="a14">
        <xdr:sp macro="" textlink="">
          <xdr:nvSpPr>
            <xdr:cNvPr id="7" name="TextBox 6">
              <a:extLst>
                <a:ext uri="{FF2B5EF4-FFF2-40B4-BE49-F238E27FC236}">
                  <a16:creationId xmlns:a16="http://schemas.microsoft.com/office/drawing/2014/main" id="{4E156440-421F-472E-ACF0-15E8FBD1E761}"/>
                </a:ext>
              </a:extLst>
            </xdr:cNvPr>
            <xdr:cNvSpPr txBox="1"/>
          </xdr:nvSpPr>
          <xdr:spPr>
            <a:xfrm>
              <a:off x="3733800" y="2938462"/>
              <a:ext cx="592663"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r>
                    <a:rPr lang="en-US" sz="1400" b="0" i="1">
                      <a:latin typeface="Cambria Math" panose="02040503050406030204" pitchFamily="18" charset="0"/>
                    </a:rPr>
                    <m:t>𝑓</m:t>
                  </m:r>
                  <m:r>
                    <a:rPr lang="en-US" sz="1400" b="0" i="1">
                      <a:latin typeface="Cambria Math" panose="02040503050406030204" pitchFamily="18" charset="0"/>
                    </a:rPr>
                    <m:t>(</m:t>
                  </m:r>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r>
                        <a:rPr lang="en-US" sz="1400" b="0" i="1">
                          <a:latin typeface="Cambria Math" panose="02040503050406030204" pitchFamily="18" charset="0"/>
                        </a:rPr>
                        <m:t>−1</m:t>
                      </m:r>
                    </m:sub>
                  </m:sSub>
                </m:oMath>
              </a14:m>
              <a:r>
                <a:rPr lang="en-US" sz="1400"/>
                <a:t>)</a:t>
              </a:r>
            </a:p>
          </xdr:txBody>
        </xdr:sp>
      </mc:Choice>
      <mc:Fallback>
        <xdr:sp macro="" textlink="">
          <xdr:nvSpPr>
            <xdr:cNvPr id="7" name="TextBox 6">
              <a:extLst>
                <a:ext uri="{FF2B5EF4-FFF2-40B4-BE49-F238E27FC236}">
                  <a16:creationId xmlns:a16="http://schemas.microsoft.com/office/drawing/2014/main" id="{4E156440-421F-472E-ACF0-15E8FBD1E761}"/>
                </a:ext>
              </a:extLst>
            </xdr:cNvPr>
            <xdr:cNvSpPr txBox="1"/>
          </xdr:nvSpPr>
          <xdr:spPr>
            <a:xfrm>
              <a:off x="3733800" y="2938462"/>
              <a:ext cx="592663"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400" b="0" i="0">
                  <a:latin typeface="Cambria Math" panose="02040503050406030204" pitchFamily="18" charset="0"/>
                </a:rPr>
                <a:t>𝑓(𝑥_(𝑛−1)</a:t>
              </a:r>
              <a:r>
                <a:rPr lang="en-US" sz="1400"/>
                <a:t>)</a:t>
              </a:r>
            </a:p>
          </xdr:txBody>
        </xdr:sp>
      </mc:Fallback>
    </mc:AlternateContent>
    <xdr:clientData/>
  </xdr:oneCellAnchor>
  <xdr:oneCellAnchor>
    <xdr:from>
      <xdr:col>9</xdr:col>
      <xdr:colOff>47625</xdr:colOff>
      <xdr:row>6</xdr:row>
      <xdr:rowOff>71437</xdr:rowOff>
    </xdr:from>
    <xdr:ext cx="2670025" cy="484043"/>
    <mc:AlternateContent xmlns:mc="http://schemas.openxmlformats.org/markup-compatibility/2006">
      <mc:Choice xmlns:a14="http://schemas.microsoft.com/office/drawing/2010/main" Requires="a14">
        <xdr:sp macro="" textlink="">
          <xdr:nvSpPr>
            <xdr:cNvPr id="8" name="TextBox 7">
              <a:extLst>
                <a:ext uri="{FF2B5EF4-FFF2-40B4-BE49-F238E27FC236}">
                  <a16:creationId xmlns:a16="http://schemas.microsoft.com/office/drawing/2014/main" id="{65E797B7-2BD1-45D3-98EF-F22FC4C4B7EF}"/>
                </a:ext>
              </a:extLst>
            </xdr:cNvPr>
            <xdr:cNvSpPr txBox="1"/>
          </xdr:nvSpPr>
          <xdr:spPr>
            <a:xfrm>
              <a:off x="9382125" y="1966912"/>
              <a:ext cx="2670025" cy="4840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Para xmlns:m="http://schemas.openxmlformats.org/officeDocument/2006/math">
                  <m:oMathParaPr>
                    <m:jc m:val="centerGroup"/>
                  </m:oMathParaPr>
                  <m:oMath xmlns:m="http://schemas.openxmlformats.org/officeDocument/2006/math">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r>
                          <a:rPr lang="en-US" sz="1400" b="0" i="1">
                            <a:latin typeface="Cambria Math" panose="02040503050406030204" pitchFamily="18" charset="0"/>
                          </a:rPr>
                          <m:t>+1</m:t>
                        </m:r>
                      </m:sub>
                    </m:sSub>
                    <m:r>
                      <a:rPr lang="en-US" sz="1400" b="0" i="1">
                        <a:latin typeface="Cambria Math" panose="02040503050406030204" pitchFamily="18" charset="0"/>
                      </a:rPr>
                      <m:t>=</m:t>
                    </m:r>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sub>
                    </m:sSub>
                    <m:r>
                      <a:rPr lang="en-US" sz="1400" b="0" i="1">
                        <a:latin typeface="Cambria Math" panose="02040503050406030204" pitchFamily="18" charset="0"/>
                      </a:rPr>
                      <m:t>−</m:t>
                    </m:r>
                    <m:d>
                      <m:dPr>
                        <m:ctrlPr>
                          <a:rPr lang="en-US" sz="1400" b="0" i="1">
                            <a:latin typeface="Cambria Math" panose="02040503050406030204" pitchFamily="18" charset="0"/>
                          </a:rPr>
                        </m:ctrlPr>
                      </m:dPr>
                      <m:e>
                        <m:f>
                          <m:fPr>
                            <m:ctrlPr>
                              <a:rPr lang="en-US" sz="1400" b="0" i="1">
                                <a:latin typeface="Cambria Math" panose="02040503050406030204" pitchFamily="18" charset="0"/>
                              </a:rPr>
                            </m:ctrlPr>
                          </m:fPr>
                          <m:num>
                            <m:r>
                              <a:rPr lang="en-US" sz="1400" b="0" i="1">
                                <a:latin typeface="Cambria Math" panose="02040503050406030204" pitchFamily="18" charset="0"/>
                              </a:rPr>
                              <m:t>𝑓</m:t>
                            </m:r>
                            <m:d>
                              <m:dPr>
                                <m:ctrlPr>
                                  <a:rPr lang="en-US" sz="1400" b="0" i="1">
                                    <a:latin typeface="Cambria Math" panose="02040503050406030204" pitchFamily="18" charset="0"/>
                                  </a:rPr>
                                </m:ctrlPr>
                              </m:dPr>
                              <m:e>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sub>
                                </m:sSub>
                              </m:e>
                            </m:d>
                            <m:d>
                              <m:dPr>
                                <m:ctrlPr>
                                  <a:rPr lang="en-US" sz="1400" b="0" i="1">
                                    <a:latin typeface="Cambria Math" panose="02040503050406030204" pitchFamily="18" charset="0"/>
                                  </a:rPr>
                                </m:ctrlPr>
                              </m:dPr>
                              <m:e>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sub>
                                </m:sSub>
                                <m:r>
                                  <a:rPr lang="en-US" sz="1400" b="0" i="1">
                                    <a:latin typeface="Cambria Math" panose="02040503050406030204" pitchFamily="18" charset="0"/>
                                  </a:rPr>
                                  <m:t>−</m:t>
                                </m:r>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r>
                                      <a:rPr lang="en-US" sz="1400" b="0" i="1">
                                        <a:latin typeface="Cambria Math" panose="02040503050406030204" pitchFamily="18" charset="0"/>
                                      </a:rPr>
                                      <m:t>−1</m:t>
                                    </m:r>
                                  </m:sub>
                                </m:sSub>
                              </m:e>
                            </m:d>
                          </m:num>
                          <m:den>
                            <m:r>
                              <a:rPr lang="en-US" sz="1400" b="0" i="1">
                                <a:latin typeface="Cambria Math" panose="02040503050406030204" pitchFamily="18" charset="0"/>
                              </a:rPr>
                              <m:t>𝑓</m:t>
                            </m:r>
                            <m:d>
                              <m:dPr>
                                <m:ctrlPr>
                                  <a:rPr lang="en-US" sz="1400" b="0" i="1">
                                    <a:latin typeface="Cambria Math" panose="02040503050406030204" pitchFamily="18" charset="0"/>
                                  </a:rPr>
                                </m:ctrlPr>
                              </m:dPr>
                              <m:e>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sub>
                                </m:sSub>
                              </m:e>
                            </m:d>
                            <m:r>
                              <a:rPr lang="en-US" sz="1400" b="0" i="1">
                                <a:latin typeface="Cambria Math" panose="02040503050406030204" pitchFamily="18" charset="0"/>
                              </a:rPr>
                              <m:t>−</m:t>
                            </m:r>
                            <m:r>
                              <a:rPr lang="en-US" sz="1400" b="0" i="1">
                                <a:latin typeface="Cambria Math" panose="02040503050406030204" pitchFamily="18" charset="0"/>
                              </a:rPr>
                              <m:t>𝑓</m:t>
                            </m:r>
                            <m:d>
                              <m:dPr>
                                <m:ctrlPr>
                                  <a:rPr lang="en-US" sz="1400" b="0" i="1">
                                    <a:latin typeface="Cambria Math" panose="02040503050406030204" pitchFamily="18" charset="0"/>
                                  </a:rPr>
                                </m:ctrlPr>
                              </m:dPr>
                              <m:e>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r>
                                      <a:rPr lang="en-US" sz="1400" b="0" i="1">
                                        <a:latin typeface="Cambria Math" panose="02040503050406030204" pitchFamily="18" charset="0"/>
                                      </a:rPr>
                                      <m:t>−1</m:t>
                                    </m:r>
                                  </m:sub>
                                </m:sSub>
                              </m:e>
                            </m:d>
                          </m:den>
                        </m:f>
                      </m:e>
                    </m:d>
                  </m:oMath>
                </m:oMathPara>
              </a14:m>
              <a:endParaRPr lang="en-US" sz="1400"/>
            </a:p>
          </xdr:txBody>
        </xdr:sp>
      </mc:Choice>
      <mc:Fallback>
        <xdr:sp macro="" textlink="">
          <xdr:nvSpPr>
            <xdr:cNvPr id="8" name="TextBox 7">
              <a:extLst>
                <a:ext uri="{FF2B5EF4-FFF2-40B4-BE49-F238E27FC236}">
                  <a16:creationId xmlns:a16="http://schemas.microsoft.com/office/drawing/2014/main" id="{65E797B7-2BD1-45D3-98EF-F22FC4C4B7EF}"/>
                </a:ext>
              </a:extLst>
            </xdr:cNvPr>
            <xdr:cNvSpPr txBox="1"/>
          </xdr:nvSpPr>
          <xdr:spPr>
            <a:xfrm>
              <a:off x="9382125" y="1966912"/>
              <a:ext cx="2670025" cy="4840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400" b="0" i="0">
                  <a:latin typeface="Cambria Math" panose="02040503050406030204" pitchFamily="18" charset="0"/>
                </a:rPr>
                <a:t>𝑥_(𝑛+1)=𝑥_𝑛−(𝑓(𝑥_𝑛 )(𝑥_𝑛−𝑥_(𝑛−1) )/(𝑓(𝑥_𝑛 )−𝑓(𝑥_(𝑛−1) ) ))</a:t>
              </a:r>
              <a:endParaRPr lang="en-US" sz="1400"/>
            </a:p>
          </xdr:txBody>
        </xdr:sp>
      </mc:Fallback>
    </mc:AlternateContent>
    <xdr:clientData/>
  </xdr:oneCellAnchor>
  <xdr:oneCellAnchor>
    <xdr:from>
      <xdr:col>7</xdr:col>
      <xdr:colOff>438150</xdr:colOff>
      <xdr:row>9</xdr:row>
      <xdr:rowOff>52387</xdr:rowOff>
    </xdr:from>
    <xdr:ext cx="400366" cy="219163"/>
    <mc:AlternateContent xmlns:mc="http://schemas.openxmlformats.org/markup-compatibility/2006">
      <mc:Choice xmlns:a14="http://schemas.microsoft.com/office/drawing/2010/main" Requires="a14">
        <xdr:sp macro="" textlink="">
          <xdr:nvSpPr>
            <xdr:cNvPr id="9" name="TextBox 8">
              <a:extLst>
                <a:ext uri="{FF2B5EF4-FFF2-40B4-BE49-F238E27FC236}">
                  <a16:creationId xmlns:a16="http://schemas.microsoft.com/office/drawing/2014/main" id="{7E3040DC-4977-42E7-828B-A9302A66E6BF}"/>
                </a:ext>
              </a:extLst>
            </xdr:cNvPr>
            <xdr:cNvSpPr txBox="1"/>
          </xdr:nvSpPr>
          <xdr:spPr>
            <a:xfrm>
              <a:off x="7505700" y="2947987"/>
              <a:ext cx="400366"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Para xmlns:m="http://schemas.openxmlformats.org/officeDocument/2006/math">
                  <m:oMathParaPr>
                    <m:jc m:val="centerGroup"/>
                  </m:oMathParaPr>
                  <m:oMath xmlns:m="http://schemas.openxmlformats.org/officeDocument/2006/math">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r>
                          <a:rPr lang="en-US" sz="1400" b="0" i="1">
                            <a:latin typeface="Cambria Math" panose="02040503050406030204" pitchFamily="18" charset="0"/>
                          </a:rPr>
                          <m:t>+1</m:t>
                        </m:r>
                      </m:sub>
                    </m:sSub>
                  </m:oMath>
                </m:oMathPara>
              </a14:m>
              <a:endParaRPr lang="en-US" sz="1400"/>
            </a:p>
          </xdr:txBody>
        </xdr:sp>
      </mc:Choice>
      <mc:Fallback>
        <xdr:sp macro="" textlink="">
          <xdr:nvSpPr>
            <xdr:cNvPr id="9" name="TextBox 8">
              <a:extLst>
                <a:ext uri="{FF2B5EF4-FFF2-40B4-BE49-F238E27FC236}">
                  <a16:creationId xmlns:a16="http://schemas.microsoft.com/office/drawing/2014/main" id="{7E3040DC-4977-42E7-828B-A9302A66E6BF}"/>
                </a:ext>
              </a:extLst>
            </xdr:cNvPr>
            <xdr:cNvSpPr txBox="1"/>
          </xdr:nvSpPr>
          <xdr:spPr>
            <a:xfrm>
              <a:off x="7505700" y="2947987"/>
              <a:ext cx="400366"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400" b="0" i="0">
                  <a:latin typeface="Cambria Math" panose="02040503050406030204" pitchFamily="18" charset="0"/>
                </a:rPr>
                <a:t>𝑥_(𝑛+1)</a:t>
              </a:r>
              <a:endParaRPr lang="en-US" sz="1400"/>
            </a:p>
          </xdr:txBody>
        </xdr:sp>
      </mc:Fallback>
    </mc:AlternateContent>
    <xdr:clientData/>
  </xdr:oneCellAnchor>
  <xdr:oneCellAnchor>
    <xdr:from>
      <xdr:col>8</xdr:col>
      <xdr:colOff>428625</xdr:colOff>
      <xdr:row>9</xdr:row>
      <xdr:rowOff>52387</xdr:rowOff>
    </xdr:from>
    <xdr:ext cx="650691" cy="219163"/>
    <mc:AlternateContent xmlns:mc="http://schemas.openxmlformats.org/markup-compatibility/2006">
      <mc:Choice xmlns:a14="http://schemas.microsoft.com/office/drawing/2010/main" Requires="a14">
        <xdr:sp macro="" textlink="">
          <xdr:nvSpPr>
            <xdr:cNvPr id="10" name="TextBox 9">
              <a:extLst>
                <a:ext uri="{FF2B5EF4-FFF2-40B4-BE49-F238E27FC236}">
                  <a16:creationId xmlns:a16="http://schemas.microsoft.com/office/drawing/2014/main" id="{4D1CEC9D-D69C-41D8-A5DC-B0014E18EB4C}"/>
                </a:ext>
              </a:extLst>
            </xdr:cNvPr>
            <xdr:cNvSpPr txBox="1"/>
          </xdr:nvSpPr>
          <xdr:spPr>
            <a:xfrm>
              <a:off x="8734425" y="2947987"/>
              <a:ext cx="650691"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b>
                    <m:sSubPr>
                      <m:ctrlPr>
                        <a:rPr lang="en-US" sz="1400" b="0" i="1">
                          <a:latin typeface="Cambria Math" panose="02040503050406030204" pitchFamily="18" charset="0"/>
                        </a:rPr>
                      </m:ctrlPr>
                    </m:sSubPr>
                    <m:e>
                      <m:r>
                        <a:rPr lang="en-US" sz="1400" b="0" i="1">
                          <a:latin typeface="Cambria Math" panose="02040503050406030204" pitchFamily="18" charset="0"/>
                        </a:rPr>
                        <m:t>𝜖</m:t>
                      </m:r>
                    </m:e>
                    <m:sub>
                      <m:r>
                        <a:rPr lang="en-US" sz="1400" b="0" i="1">
                          <a:latin typeface="Cambria Math" panose="02040503050406030204" pitchFamily="18" charset="0"/>
                        </a:rPr>
                        <m:t>𝑎</m:t>
                      </m:r>
                    </m:sub>
                  </m:sSub>
                </m:oMath>
              </a14:m>
              <a:r>
                <a:rPr lang="en-US" sz="1400"/>
                <a:t> (as %)</a:t>
              </a:r>
            </a:p>
          </xdr:txBody>
        </xdr:sp>
      </mc:Choice>
      <mc:Fallback>
        <xdr:sp macro="" textlink="">
          <xdr:nvSpPr>
            <xdr:cNvPr id="10" name="TextBox 9">
              <a:extLst>
                <a:ext uri="{FF2B5EF4-FFF2-40B4-BE49-F238E27FC236}">
                  <a16:creationId xmlns:a16="http://schemas.microsoft.com/office/drawing/2014/main" id="{4D1CEC9D-D69C-41D8-A5DC-B0014E18EB4C}"/>
                </a:ext>
              </a:extLst>
            </xdr:cNvPr>
            <xdr:cNvSpPr txBox="1"/>
          </xdr:nvSpPr>
          <xdr:spPr>
            <a:xfrm>
              <a:off x="8734425" y="2947987"/>
              <a:ext cx="650691"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400" b="0" i="0">
                  <a:latin typeface="Cambria Math" panose="02040503050406030204" pitchFamily="18" charset="0"/>
                </a:rPr>
                <a:t>𝜖_𝑎</a:t>
              </a:r>
              <a:r>
                <a:rPr lang="en-US" sz="1400"/>
                <a:t> (as %)</a:t>
              </a:r>
            </a:p>
          </xdr:txBody>
        </xdr:sp>
      </mc:Fallback>
    </mc:AlternateContent>
    <xdr:clientData/>
  </xdr:oneCellAnchor>
  <xdr:oneCellAnchor>
    <xdr:from>
      <xdr:col>0</xdr:col>
      <xdr:colOff>123825</xdr:colOff>
      <xdr:row>9</xdr:row>
      <xdr:rowOff>61912</xdr:rowOff>
    </xdr:from>
    <xdr:ext cx="146642" cy="219163"/>
    <mc:AlternateContent xmlns:mc="http://schemas.openxmlformats.org/markup-compatibility/2006">
      <mc:Choice xmlns:a14="http://schemas.microsoft.com/office/drawing/2010/main" Requires="a14">
        <xdr:sp macro="" textlink="">
          <xdr:nvSpPr>
            <xdr:cNvPr id="11" name="TextBox 10">
              <a:extLst>
                <a:ext uri="{FF2B5EF4-FFF2-40B4-BE49-F238E27FC236}">
                  <a16:creationId xmlns:a16="http://schemas.microsoft.com/office/drawing/2014/main" id="{00A3AB12-8200-4606-A67B-FA502471B3BD}"/>
                </a:ext>
              </a:extLst>
            </xdr:cNvPr>
            <xdr:cNvSpPr txBox="1"/>
          </xdr:nvSpPr>
          <xdr:spPr>
            <a:xfrm>
              <a:off x="123825" y="2957512"/>
              <a:ext cx="146642"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Para xmlns:m="http://schemas.openxmlformats.org/officeDocument/2006/math">
                  <m:oMathParaPr>
                    <m:jc m:val="centerGroup"/>
                  </m:oMathParaPr>
                  <m:oMath xmlns:m="http://schemas.openxmlformats.org/officeDocument/2006/math">
                    <m:r>
                      <a:rPr lang="en-US" sz="1400" b="0" i="1">
                        <a:latin typeface="Cambria Math" panose="02040503050406030204" pitchFamily="18" charset="0"/>
                      </a:rPr>
                      <m:t>𝑛</m:t>
                    </m:r>
                  </m:oMath>
                </m:oMathPara>
              </a14:m>
              <a:endParaRPr lang="en-US" sz="1400"/>
            </a:p>
          </xdr:txBody>
        </xdr:sp>
      </mc:Choice>
      <mc:Fallback>
        <xdr:sp macro="" textlink="">
          <xdr:nvSpPr>
            <xdr:cNvPr id="11" name="TextBox 10">
              <a:extLst>
                <a:ext uri="{FF2B5EF4-FFF2-40B4-BE49-F238E27FC236}">
                  <a16:creationId xmlns:a16="http://schemas.microsoft.com/office/drawing/2014/main" id="{00A3AB12-8200-4606-A67B-FA502471B3BD}"/>
                </a:ext>
              </a:extLst>
            </xdr:cNvPr>
            <xdr:cNvSpPr txBox="1"/>
          </xdr:nvSpPr>
          <xdr:spPr>
            <a:xfrm>
              <a:off x="123825" y="2957512"/>
              <a:ext cx="146642"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400" b="0" i="0">
                  <a:latin typeface="Cambria Math" panose="02040503050406030204" pitchFamily="18" charset="0"/>
                </a:rPr>
                <a:t>𝑛</a:t>
              </a:r>
              <a:endParaRPr lang="en-US" sz="1400"/>
            </a:p>
          </xdr:txBody>
        </xdr:sp>
      </mc:Fallback>
    </mc:AlternateContent>
    <xdr:clientData/>
  </xdr:oneCellAnchor>
  <xdr:twoCellAnchor editAs="oneCell">
    <xdr:from>
      <xdr:col>0</xdr:col>
      <xdr:colOff>161925</xdr:colOff>
      <xdr:row>19</xdr:row>
      <xdr:rowOff>391018</xdr:rowOff>
    </xdr:from>
    <xdr:to>
      <xdr:col>5</xdr:col>
      <xdr:colOff>164981</xdr:colOff>
      <xdr:row>19</xdr:row>
      <xdr:rowOff>3228323</xdr:rowOff>
    </xdr:to>
    <xdr:pic>
      <xdr:nvPicPr>
        <xdr:cNvPr id="12" name="Picture 11">
          <a:extLst>
            <a:ext uri="{FF2B5EF4-FFF2-40B4-BE49-F238E27FC236}">
              <a16:creationId xmlns:a16="http://schemas.microsoft.com/office/drawing/2014/main" id="{C52FF2DB-AD62-4FD7-960D-215A2296782B}"/>
            </a:ext>
          </a:extLst>
        </xdr:cNvPr>
        <xdr:cNvPicPr>
          <a:picLocks noChangeAspect="1"/>
        </xdr:cNvPicPr>
      </xdr:nvPicPr>
      <xdr:blipFill>
        <a:blip xmlns:r="http://schemas.openxmlformats.org/officeDocument/2006/relationships" r:embed="rId1"/>
        <a:stretch>
          <a:fillRect/>
        </a:stretch>
      </xdr:blipFill>
      <xdr:spPr>
        <a:xfrm>
          <a:off x="161925" y="5163043"/>
          <a:ext cx="6208874" cy="2837305"/>
        </a:xfrm>
        <a:prstGeom prst="rect">
          <a:avLst/>
        </a:prstGeom>
      </xdr:spPr>
    </xdr:pic>
    <xdr:clientData/>
  </xdr:twoCellAnchor>
  <xdr:oneCellAnchor>
    <xdr:from>
      <xdr:col>1</xdr:col>
      <xdr:colOff>540123</xdr:colOff>
      <xdr:row>21</xdr:row>
      <xdr:rowOff>49026</xdr:rowOff>
    </xdr:from>
    <xdr:ext cx="229165" cy="219163"/>
    <mc:AlternateContent xmlns:mc="http://schemas.openxmlformats.org/markup-compatibility/2006">
      <mc:Choice xmlns:a14="http://schemas.microsoft.com/office/drawing/2010/main" Requires="a14">
        <xdr:sp macro="" textlink="">
          <xdr:nvSpPr>
            <xdr:cNvPr id="13" name="TextBox 12">
              <a:extLst>
                <a:ext uri="{FF2B5EF4-FFF2-40B4-BE49-F238E27FC236}">
                  <a16:creationId xmlns:a16="http://schemas.microsoft.com/office/drawing/2014/main" id="{ED915209-1608-40C1-876E-4F408F555DCB}"/>
                </a:ext>
              </a:extLst>
            </xdr:cNvPr>
            <xdr:cNvSpPr txBox="1"/>
          </xdr:nvSpPr>
          <xdr:spPr>
            <a:xfrm>
              <a:off x="943535" y="8386202"/>
              <a:ext cx="229165"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Para xmlns:m="http://schemas.openxmlformats.org/officeDocument/2006/math">
                  <m:oMathParaPr>
                    <m:jc m:val="centerGroup"/>
                  </m:oMathParaPr>
                  <m:oMath xmlns:m="http://schemas.openxmlformats.org/officeDocument/2006/math">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sub>
                    </m:sSub>
                  </m:oMath>
                </m:oMathPara>
              </a14:m>
              <a:endParaRPr lang="en-US" sz="1400"/>
            </a:p>
          </xdr:txBody>
        </xdr:sp>
      </mc:Choice>
      <mc:Fallback>
        <xdr:sp macro="" textlink="">
          <xdr:nvSpPr>
            <xdr:cNvPr id="13" name="TextBox 12">
              <a:extLst>
                <a:ext uri="{FF2B5EF4-FFF2-40B4-BE49-F238E27FC236}">
                  <a16:creationId xmlns:a16="http://schemas.microsoft.com/office/drawing/2014/main" id="{ED915209-1608-40C1-876E-4F408F555DCB}"/>
                </a:ext>
              </a:extLst>
            </xdr:cNvPr>
            <xdr:cNvSpPr txBox="1"/>
          </xdr:nvSpPr>
          <xdr:spPr>
            <a:xfrm>
              <a:off x="943535" y="8386202"/>
              <a:ext cx="229165"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400" b="0" i="0">
                  <a:latin typeface="Cambria Math" panose="02040503050406030204" pitchFamily="18" charset="0"/>
                </a:rPr>
                <a:t>𝑥_𝑛</a:t>
              </a:r>
              <a:endParaRPr lang="en-US" sz="1400"/>
            </a:p>
          </xdr:txBody>
        </xdr:sp>
      </mc:Fallback>
    </mc:AlternateContent>
    <xdr:clientData/>
  </xdr:oneCellAnchor>
  <xdr:oneCellAnchor>
    <xdr:from>
      <xdr:col>2</xdr:col>
      <xdr:colOff>304800</xdr:colOff>
      <xdr:row>21</xdr:row>
      <xdr:rowOff>61912</xdr:rowOff>
    </xdr:from>
    <xdr:ext cx="400366" cy="219163"/>
    <mc:AlternateContent xmlns:mc="http://schemas.openxmlformats.org/markup-compatibility/2006">
      <mc:Choice xmlns:a14="http://schemas.microsoft.com/office/drawing/2010/main" Requires="a14">
        <xdr:sp macro="" textlink="">
          <xdr:nvSpPr>
            <xdr:cNvPr id="14" name="TextBox 13">
              <a:extLst>
                <a:ext uri="{FF2B5EF4-FFF2-40B4-BE49-F238E27FC236}">
                  <a16:creationId xmlns:a16="http://schemas.microsoft.com/office/drawing/2014/main" id="{FF8511B7-275D-49CC-8568-E6C8028BE76B}"/>
                </a:ext>
              </a:extLst>
            </xdr:cNvPr>
            <xdr:cNvSpPr txBox="1"/>
          </xdr:nvSpPr>
          <xdr:spPr>
            <a:xfrm>
              <a:off x="1666875" y="2957512"/>
              <a:ext cx="400366"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Para xmlns:m="http://schemas.openxmlformats.org/officeDocument/2006/math">
                  <m:oMathParaPr>
                    <m:jc m:val="centerGroup"/>
                  </m:oMathParaPr>
                  <m:oMath xmlns:m="http://schemas.openxmlformats.org/officeDocument/2006/math">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r>
                          <a:rPr lang="en-US" sz="1400" b="0" i="1">
                            <a:latin typeface="Cambria Math" panose="02040503050406030204" pitchFamily="18" charset="0"/>
                          </a:rPr>
                          <m:t>−1</m:t>
                        </m:r>
                      </m:sub>
                    </m:sSub>
                  </m:oMath>
                </m:oMathPara>
              </a14:m>
              <a:endParaRPr lang="en-US" sz="1400"/>
            </a:p>
          </xdr:txBody>
        </xdr:sp>
      </mc:Choice>
      <mc:Fallback>
        <xdr:sp macro="" textlink="">
          <xdr:nvSpPr>
            <xdr:cNvPr id="14" name="TextBox 13">
              <a:extLst>
                <a:ext uri="{FF2B5EF4-FFF2-40B4-BE49-F238E27FC236}">
                  <a16:creationId xmlns:a16="http://schemas.microsoft.com/office/drawing/2014/main" id="{FF8511B7-275D-49CC-8568-E6C8028BE76B}"/>
                </a:ext>
              </a:extLst>
            </xdr:cNvPr>
            <xdr:cNvSpPr txBox="1"/>
          </xdr:nvSpPr>
          <xdr:spPr>
            <a:xfrm>
              <a:off x="1666875" y="2957512"/>
              <a:ext cx="400366"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400" b="0" i="0">
                  <a:latin typeface="Cambria Math" panose="02040503050406030204" pitchFamily="18" charset="0"/>
                </a:rPr>
                <a:t>𝑥_(𝑛−1)</a:t>
              </a:r>
              <a:endParaRPr lang="en-US" sz="1400"/>
            </a:p>
          </xdr:txBody>
        </xdr:sp>
      </mc:Fallback>
    </mc:AlternateContent>
    <xdr:clientData/>
  </xdr:oneCellAnchor>
  <xdr:oneCellAnchor>
    <xdr:from>
      <xdr:col>3</xdr:col>
      <xdr:colOff>266700</xdr:colOff>
      <xdr:row>21</xdr:row>
      <xdr:rowOff>71437</xdr:rowOff>
    </xdr:from>
    <xdr:ext cx="482120" cy="219163"/>
    <mc:AlternateContent xmlns:mc="http://schemas.openxmlformats.org/markup-compatibility/2006">
      <mc:Choice xmlns:a14="http://schemas.microsoft.com/office/drawing/2010/main" Requires="a14">
        <xdr:sp macro="" textlink="">
          <xdr:nvSpPr>
            <xdr:cNvPr id="15" name="TextBox 14">
              <a:extLst>
                <a:ext uri="{FF2B5EF4-FFF2-40B4-BE49-F238E27FC236}">
                  <a16:creationId xmlns:a16="http://schemas.microsoft.com/office/drawing/2014/main" id="{97240BE0-3946-4EF2-971A-4AD65EA019BA}"/>
                </a:ext>
              </a:extLst>
            </xdr:cNvPr>
            <xdr:cNvSpPr txBox="1"/>
          </xdr:nvSpPr>
          <xdr:spPr>
            <a:xfrm>
              <a:off x="2562225" y="2967037"/>
              <a:ext cx="482120"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Para xmlns:m="http://schemas.openxmlformats.org/officeDocument/2006/math">
                  <m:oMathParaPr>
                    <m:jc m:val="centerGroup"/>
                  </m:oMathParaPr>
                  <m:oMath xmlns:m="http://schemas.openxmlformats.org/officeDocument/2006/math">
                    <m:r>
                      <a:rPr lang="en-US" sz="1400" b="0" i="1">
                        <a:latin typeface="Cambria Math" panose="02040503050406030204" pitchFamily="18" charset="0"/>
                      </a:rPr>
                      <m:t>𝑓</m:t>
                    </m:r>
                    <m:r>
                      <a:rPr lang="en-US" sz="1400" b="0" i="1">
                        <a:latin typeface="Cambria Math" panose="02040503050406030204" pitchFamily="18" charset="0"/>
                      </a:rPr>
                      <m:t>(</m:t>
                    </m:r>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sub>
                    </m:sSub>
                    <m:r>
                      <a:rPr lang="en-US" sz="1400" b="0" i="1">
                        <a:latin typeface="Cambria Math" panose="02040503050406030204" pitchFamily="18" charset="0"/>
                      </a:rPr>
                      <m:t>)</m:t>
                    </m:r>
                  </m:oMath>
                </m:oMathPara>
              </a14:m>
              <a:endParaRPr lang="en-US" sz="1400"/>
            </a:p>
          </xdr:txBody>
        </xdr:sp>
      </mc:Choice>
      <mc:Fallback>
        <xdr:sp macro="" textlink="">
          <xdr:nvSpPr>
            <xdr:cNvPr id="15" name="TextBox 14">
              <a:extLst>
                <a:ext uri="{FF2B5EF4-FFF2-40B4-BE49-F238E27FC236}">
                  <a16:creationId xmlns:a16="http://schemas.microsoft.com/office/drawing/2014/main" id="{97240BE0-3946-4EF2-971A-4AD65EA019BA}"/>
                </a:ext>
              </a:extLst>
            </xdr:cNvPr>
            <xdr:cNvSpPr txBox="1"/>
          </xdr:nvSpPr>
          <xdr:spPr>
            <a:xfrm>
              <a:off x="2562225" y="2967037"/>
              <a:ext cx="482120"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400" b="0" i="0">
                  <a:latin typeface="Cambria Math" panose="02040503050406030204" pitchFamily="18" charset="0"/>
                </a:rPr>
                <a:t>𝑓(𝑥_𝑛)</a:t>
              </a:r>
              <a:endParaRPr lang="en-US" sz="1400"/>
            </a:p>
          </xdr:txBody>
        </xdr:sp>
      </mc:Fallback>
    </mc:AlternateContent>
    <xdr:clientData/>
  </xdr:oneCellAnchor>
  <xdr:oneCellAnchor>
    <xdr:from>
      <xdr:col>4</xdr:col>
      <xdr:colOff>228600</xdr:colOff>
      <xdr:row>21</xdr:row>
      <xdr:rowOff>42862</xdr:rowOff>
    </xdr:from>
    <xdr:ext cx="592663" cy="219163"/>
    <mc:AlternateContent xmlns:mc="http://schemas.openxmlformats.org/markup-compatibility/2006">
      <mc:Choice xmlns:a14="http://schemas.microsoft.com/office/drawing/2010/main" Requires="a14">
        <xdr:sp macro="" textlink="">
          <xdr:nvSpPr>
            <xdr:cNvPr id="16" name="TextBox 15">
              <a:extLst>
                <a:ext uri="{FF2B5EF4-FFF2-40B4-BE49-F238E27FC236}">
                  <a16:creationId xmlns:a16="http://schemas.microsoft.com/office/drawing/2014/main" id="{4CD7ACE4-73E0-4F8B-8943-5E33FE3C52B5}"/>
                </a:ext>
              </a:extLst>
            </xdr:cNvPr>
            <xdr:cNvSpPr txBox="1"/>
          </xdr:nvSpPr>
          <xdr:spPr>
            <a:xfrm>
              <a:off x="3524250" y="2938462"/>
              <a:ext cx="592663"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r>
                    <a:rPr lang="en-US" sz="1400" b="0" i="1">
                      <a:latin typeface="Cambria Math" panose="02040503050406030204" pitchFamily="18" charset="0"/>
                    </a:rPr>
                    <m:t>𝑓</m:t>
                  </m:r>
                  <m:r>
                    <a:rPr lang="en-US" sz="1400" b="0" i="1">
                      <a:latin typeface="Cambria Math" panose="02040503050406030204" pitchFamily="18" charset="0"/>
                    </a:rPr>
                    <m:t>(</m:t>
                  </m:r>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r>
                        <a:rPr lang="en-US" sz="1400" b="0" i="1">
                          <a:latin typeface="Cambria Math" panose="02040503050406030204" pitchFamily="18" charset="0"/>
                        </a:rPr>
                        <m:t>−1</m:t>
                      </m:r>
                    </m:sub>
                  </m:sSub>
                </m:oMath>
              </a14:m>
              <a:r>
                <a:rPr lang="en-US" sz="1400"/>
                <a:t>)</a:t>
              </a:r>
            </a:p>
          </xdr:txBody>
        </xdr:sp>
      </mc:Choice>
      <mc:Fallback>
        <xdr:sp macro="" textlink="">
          <xdr:nvSpPr>
            <xdr:cNvPr id="16" name="TextBox 15">
              <a:extLst>
                <a:ext uri="{FF2B5EF4-FFF2-40B4-BE49-F238E27FC236}">
                  <a16:creationId xmlns:a16="http://schemas.microsoft.com/office/drawing/2014/main" id="{4CD7ACE4-73E0-4F8B-8943-5E33FE3C52B5}"/>
                </a:ext>
              </a:extLst>
            </xdr:cNvPr>
            <xdr:cNvSpPr txBox="1"/>
          </xdr:nvSpPr>
          <xdr:spPr>
            <a:xfrm>
              <a:off x="3524250" y="2938462"/>
              <a:ext cx="592663"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400" b="0" i="0">
                  <a:latin typeface="Cambria Math" panose="02040503050406030204" pitchFamily="18" charset="0"/>
                </a:rPr>
                <a:t>𝑓(𝑥_(𝑛−1)</a:t>
              </a:r>
              <a:r>
                <a:rPr lang="en-US" sz="1400"/>
                <a:t>)</a:t>
              </a:r>
            </a:p>
          </xdr:txBody>
        </xdr:sp>
      </mc:Fallback>
    </mc:AlternateContent>
    <xdr:clientData/>
  </xdr:oneCellAnchor>
  <xdr:oneCellAnchor>
    <xdr:from>
      <xdr:col>7</xdr:col>
      <xdr:colOff>438150</xdr:colOff>
      <xdr:row>21</xdr:row>
      <xdr:rowOff>52387</xdr:rowOff>
    </xdr:from>
    <xdr:ext cx="400366" cy="219163"/>
    <mc:AlternateContent xmlns:mc="http://schemas.openxmlformats.org/markup-compatibility/2006">
      <mc:Choice xmlns:a14="http://schemas.microsoft.com/office/drawing/2010/main" Requires="a14">
        <xdr:sp macro="" textlink="">
          <xdr:nvSpPr>
            <xdr:cNvPr id="17" name="TextBox 16">
              <a:extLst>
                <a:ext uri="{FF2B5EF4-FFF2-40B4-BE49-F238E27FC236}">
                  <a16:creationId xmlns:a16="http://schemas.microsoft.com/office/drawing/2014/main" id="{BB9271DE-2553-445D-AE14-2E0514E94CA9}"/>
                </a:ext>
              </a:extLst>
            </xdr:cNvPr>
            <xdr:cNvSpPr txBox="1"/>
          </xdr:nvSpPr>
          <xdr:spPr>
            <a:xfrm>
              <a:off x="7296150" y="2947987"/>
              <a:ext cx="400366"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Para xmlns:m="http://schemas.openxmlformats.org/officeDocument/2006/math">
                  <m:oMathParaPr>
                    <m:jc m:val="centerGroup"/>
                  </m:oMathParaPr>
                  <m:oMath xmlns:m="http://schemas.openxmlformats.org/officeDocument/2006/math">
                    <m:sSub>
                      <m:sSubPr>
                        <m:ctrlPr>
                          <a:rPr lang="en-US" sz="1400" b="0" i="1">
                            <a:latin typeface="Cambria Math" panose="02040503050406030204" pitchFamily="18" charset="0"/>
                          </a:rPr>
                        </m:ctrlPr>
                      </m:sSubPr>
                      <m:e>
                        <m:r>
                          <a:rPr lang="en-US" sz="1400" b="0" i="1">
                            <a:latin typeface="Cambria Math" panose="02040503050406030204" pitchFamily="18" charset="0"/>
                          </a:rPr>
                          <m:t>𝑥</m:t>
                        </m:r>
                      </m:e>
                      <m:sub>
                        <m:r>
                          <a:rPr lang="en-US" sz="1400" b="0" i="1">
                            <a:latin typeface="Cambria Math" panose="02040503050406030204" pitchFamily="18" charset="0"/>
                          </a:rPr>
                          <m:t>𝑛</m:t>
                        </m:r>
                        <m:r>
                          <a:rPr lang="en-US" sz="1400" b="0" i="1">
                            <a:latin typeface="Cambria Math" panose="02040503050406030204" pitchFamily="18" charset="0"/>
                          </a:rPr>
                          <m:t>+1</m:t>
                        </m:r>
                      </m:sub>
                    </m:sSub>
                  </m:oMath>
                </m:oMathPara>
              </a14:m>
              <a:endParaRPr lang="en-US" sz="1400"/>
            </a:p>
          </xdr:txBody>
        </xdr:sp>
      </mc:Choice>
      <mc:Fallback>
        <xdr:sp macro="" textlink="">
          <xdr:nvSpPr>
            <xdr:cNvPr id="17" name="TextBox 16">
              <a:extLst>
                <a:ext uri="{FF2B5EF4-FFF2-40B4-BE49-F238E27FC236}">
                  <a16:creationId xmlns:a16="http://schemas.microsoft.com/office/drawing/2014/main" id="{BB9271DE-2553-445D-AE14-2E0514E94CA9}"/>
                </a:ext>
              </a:extLst>
            </xdr:cNvPr>
            <xdr:cNvSpPr txBox="1"/>
          </xdr:nvSpPr>
          <xdr:spPr>
            <a:xfrm>
              <a:off x="7296150" y="2947987"/>
              <a:ext cx="400366"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400" b="0" i="0">
                  <a:latin typeface="Cambria Math" panose="02040503050406030204" pitchFamily="18" charset="0"/>
                </a:rPr>
                <a:t>𝑥_(𝑛+1)</a:t>
              </a:r>
              <a:endParaRPr lang="en-US" sz="1400"/>
            </a:p>
          </xdr:txBody>
        </xdr:sp>
      </mc:Fallback>
    </mc:AlternateContent>
    <xdr:clientData/>
  </xdr:oneCellAnchor>
  <xdr:oneCellAnchor>
    <xdr:from>
      <xdr:col>8</xdr:col>
      <xdr:colOff>428625</xdr:colOff>
      <xdr:row>21</xdr:row>
      <xdr:rowOff>52387</xdr:rowOff>
    </xdr:from>
    <xdr:ext cx="650691" cy="219163"/>
    <mc:AlternateContent xmlns:mc="http://schemas.openxmlformats.org/markup-compatibility/2006">
      <mc:Choice xmlns:a14="http://schemas.microsoft.com/office/drawing/2010/main" Requires="a14">
        <xdr:sp macro="" textlink="">
          <xdr:nvSpPr>
            <xdr:cNvPr id="18" name="TextBox 17">
              <a:extLst>
                <a:ext uri="{FF2B5EF4-FFF2-40B4-BE49-F238E27FC236}">
                  <a16:creationId xmlns:a16="http://schemas.microsoft.com/office/drawing/2014/main" id="{8E551401-C845-4A9B-B4D9-41931DFA9DA5}"/>
                </a:ext>
              </a:extLst>
            </xdr:cNvPr>
            <xdr:cNvSpPr txBox="1"/>
          </xdr:nvSpPr>
          <xdr:spPr>
            <a:xfrm>
              <a:off x="8524875" y="2947987"/>
              <a:ext cx="650691"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b>
                    <m:sSubPr>
                      <m:ctrlPr>
                        <a:rPr lang="en-US" sz="1400" b="0" i="1">
                          <a:latin typeface="Cambria Math" panose="02040503050406030204" pitchFamily="18" charset="0"/>
                        </a:rPr>
                      </m:ctrlPr>
                    </m:sSubPr>
                    <m:e>
                      <m:r>
                        <a:rPr lang="en-US" sz="1400" b="0" i="1">
                          <a:latin typeface="Cambria Math" panose="02040503050406030204" pitchFamily="18" charset="0"/>
                        </a:rPr>
                        <m:t>𝜖</m:t>
                      </m:r>
                    </m:e>
                    <m:sub>
                      <m:r>
                        <a:rPr lang="en-US" sz="1400" b="0" i="1">
                          <a:latin typeface="Cambria Math" panose="02040503050406030204" pitchFamily="18" charset="0"/>
                        </a:rPr>
                        <m:t>𝑎</m:t>
                      </m:r>
                    </m:sub>
                  </m:sSub>
                </m:oMath>
              </a14:m>
              <a:r>
                <a:rPr lang="en-US" sz="1400"/>
                <a:t> (as %)</a:t>
              </a:r>
            </a:p>
          </xdr:txBody>
        </xdr:sp>
      </mc:Choice>
      <mc:Fallback>
        <xdr:sp macro="" textlink="">
          <xdr:nvSpPr>
            <xdr:cNvPr id="18" name="TextBox 17">
              <a:extLst>
                <a:ext uri="{FF2B5EF4-FFF2-40B4-BE49-F238E27FC236}">
                  <a16:creationId xmlns:a16="http://schemas.microsoft.com/office/drawing/2014/main" id="{8E551401-C845-4A9B-B4D9-41931DFA9DA5}"/>
                </a:ext>
              </a:extLst>
            </xdr:cNvPr>
            <xdr:cNvSpPr txBox="1"/>
          </xdr:nvSpPr>
          <xdr:spPr>
            <a:xfrm>
              <a:off x="8524875" y="2947987"/>
              <a:ext cx="650691"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400" b="0" i="0">
                  <a:latin typeface="Cambria Math" panose="02040503050406030204" pitchFamily="18" charset="0"/>
                </a:rPr>
                <a:t>𝜖_𝑎</a:t>
              </a:r>
              <a:r>
                <a:rPr lang="en-US" sz="1400"/>
                <a:t> (as %)</a:t>
              </a:r>
            </a:p>
          </xdr:txBody>
        </xdr:sp>
      </mc:Fallback>
    </mc:AlternateContent>
    <xdr:clientData/>
  </xdr:oneCellAnchor>
  <xdr:oneCellAnchor>
    <xdr:from>
      <xdr:col>0</xdr:col>
      <xdr:colOff>123825</xdr:colOff>
      <xdr:row>21</xdr:row>
      <xdr:rowOff>61912</xdr:rowOff>
    </xdr:from>
    <xdr:ext cx="146642" cy="219163"/>
    <mc:AlternateContent xmlns:mc="http://schemas.openxmlformats.org/markup-compatibility/2006">
      <mc:Choice xmlns:a14="http://schemas.microsoft.com/office/drawing/2010/main" Requires="a14">
        <xdr:sp macro="" textlink="">
          <xdr:nvSpPr>
            <xdr:cNvPr id="19" name="TextBox 18">
              <a:extLst>
                <a:ext uri="{FF2B5EF4-FFF2-40B4-BE49-F238E27FC236}">
                  <a16:creationId xmlns:a16="http://schemas.microsoft.com/office/drawing/2014/main" id="{761F92E5-D38F-48C6-AC1E-C9C92B772112}"/>
                </a:ext>
              </a:extLst>
            </xdr:cNvPr>
            <xdr:cNvSpPr txBox="1"/>
          </xdr:nvSpPr>
          <xdr:spPr>
            <a:xfrm>
              <a:off x="123825" y="2957512"/>
              <a:ext cx="146642"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Para xmlns:m="http://schemas.openxmlformats.org/officeDocument/2006/math">
                  <m:oMathParaPr>
                    <m:jc m:val="centerGroup"/>
                  </m:oMathParaPr>
                  <m:oMath xmlns:m="http://schemas.openxmlformats.org/officeDocument/2006/math">
                    <m:r>
                      <a:rPr lang="en-US" sz="1400" b="0" i="1">
                        <a:latin typeface="Cambria Math" panose="02040503050406030204" pitchFamily="18" charset="0"/>
                      </a:rPr>
                      <m:t>𝑛</m:t>
                    </m:r>
                  </m:oMath>
                </m:oMathPara>
              </a14:m>
              <a:endParaRPr lang="en-US" sz="1400"/>
            </a:p>
          </xdr:txBody>
        </xdr:sp>
      </mc:Choice>
      <mc:Fallback>
        <xdr:sp macro="" textlink="">
          <xdr:nvSpPr>
            <xdr:cNvPr id="19" name="TextBox 18">
              <a:extLst>
                <a:ext uri="{FF2B5EF4-FFF2-40B4-BE49-F238E27FC236}">
                  <a16:creationId xmlns:a16="http://schemas.microsoft.com/office/drawing/2014/main" id="{761F92E5-D38F-48C6-AC1E-C9C92B772112}"/>
                </a:ext>
              </a:extLst>
            </xdr:cNvPr>
            <xdr:cNvSpPr txBox="1"/>
          </xdr:nvSpPr>
          <xdr:spPr>
            <a:xfrm>
              <a:off x="123825" y="2957512"/>
              <a:ext cx="146642"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400" b="0" i="0">
                  <a:latin typeface="Cambria Math" panose="02040503050406030204" pitchFamily="18" charset="0"/>
                </a:rPr>
                <a:t>𝑛</a:t>
              </a:r>
              <a:endParaRPr lang="en-US" sz="1400"/>
            </a:p>
          </xdr:txBody>
        </xdr:sp>
      </mc:Fallback>
    </mc:AlternateContent>
    <xdr:clientData/>
  </xdr:oneCellAnchor>
  <xdr:twoCellAnchor editAs="oneCell">
    <xdr:from>
      <xdr:col>1</xdr:col>
      <xdr:colOff>0</xdr:colOff>
      <xdr:row>53</xdr:row>
      <xdr:rowOff>0</xdr:rowOff>
    </xdr:from>
    <xdr:to>
      <xdr:col>10</xdr:col>
      <xdr:colOff>75846</xdr:colOff>
      <xdr:row>93</xdr:row>
      <xdr:rowOff>170476</xdr:rowOff>
    </xdr:to>
    <xdr:pic>
      <xdr:nvPicPr>
        <xdr:cNvPr id="20" name="Picture 19">
          <a:extLst>
            <a:ext uri="{FF2B5EF4-FFF2-40B4-BE49-F238E27FC236}">
              <a16:creationId xmlns:a16="http://schemas.microsoft.com/office/drawing/2014/main" id="{169B6124-EA5A-4F61-94B4-871559E3FEAD}"/>
            </a:ext>
          </a:extLst>
        </xdr:cNvPr>
        <xdr:cNvPicPr>
          <a:picLocks noChangeAspect="1"/>
        </xdr:cNvPicPr>
      </xdr:nvPicPr>
      <xdr:blipFill>
        <a:blip xmlns:r="http://schemas.openxmlformats.org/officeDocument/2006/relationships" r:embed="rId2"/>
        <a:stretch>
          <a:fillRect/>
        </a:stretch>
      </xdr:blipFill>
      <xdr:spPr>
        <a:xfrm>
          <a:off x="400050" y="12353925"/>
          <a:ext cx="11790476" cy="779047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bin"/></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DFC16D-F0A2-4CBD-90D1-10F32377574A}">
  <sheetPr codeName="Sheet1"/>
  <dimension ref="A1:B39"/>
  <sheetViews>
    <sheetView tabSelected="1" workbookViewId="0">
      <selection activeCell="K12" sqref="K12"/>
    </sheetView>
  </sheetViews>
  <sheetFormatPr defaultRowHeight="15" x14ac:dyDescent="0.25"/>
  <cols>
    <col min="1" max="1" width="20.5703125" customWidth="1"/>
    <col min="2" max="2" width="54.28515625" customWidth="1"/>
  </cols>
  <sheetData>
    <row r="1" spans="1:2" ht="15.75" x14ac:dyDescent="0.25">
      <c r="A1" s="3" t="s">
        <v>0</v>
      </c>
      <c r="B1" s="1" t="s">
        <v>1</v>
      </c>
    </row>
    <row r="2" spans="1:2" ht="15.75" x14ac:dyDescent="0.25">
      <c r="A2" s="3" t="s">
        <v>2</v>
      </c>
      <c r="B2" s="1" t="s">
        <v>3</v>
      </c>
    </row>
    <row r="3" spans="1:2" ht="15.75" x14ac:dyDescent="0.25">
      <c r="A3" s="3" t="s">
        <v>4</v>
      </c>
      <c r="B3" s="2">
        <v>4</v>
      </c>
    </row>
    <row r="4" spans="1:2" ht="15.75" x14ac:dyDescent="0.25">
      <c r="A4" s="3" t="s">
        <v>5</v>
      </c>
      <c r="B4" s="1" t="s">
        <v>14</v>
      </c>
    </row>
    <row r="5" spans="1:2" x14ac:dyDescent="0.25">
      <c r="A5" s="4" t="s">
        <v>6</v>
      </c>
    </row>
    <row r="6" spans="1:2" x14ac:dyDescent="0.25">
      <c r="A6" s="4"/>
    </row>
    <row r="7" spans="1:2" ht="15.75" x14ac:dyDescent="0.25">
      <c r="A7" s="5" t="s">
        <v>222</v>
      </c>
    </row>
    <row r="8" spans="1:2" x14ac:dyDescent="0.25">
      <c r="A8" s="6"/>
      <c r="B8" s="62" t="s">
        <v>223</v>
      </c>
    </row>
    <row r="9" spans="1:2" x14ac:dyDescent="0.25">
      <c r="A9" s="6"/>
      <c r="B9" s="62" t="s">
        <v>224</v>
      </c>
    </row>
    <row r="10" spans="1:2" x14ac:dyDescent="0.25">
      <c r="A10" s="6"/>
      <c r="B10" s="62" t="s">
        <v>225</v>
      </c>
    </row>
    <row r="11" spans="1:2" x14ac:dyDescent="0.25">
      <c r="A11" s="6"/>
      <c r="B11" s="62" t="s">
        <v>226</v>
      </c>
    </row>
    <row r="12" spans="1:2" x14ac:dyDescent="0.25">
      <c r="A12" s="6"/>
      <c r="B12" s="63" t="s">
        <v>227</v>
      </c>
    </row>
    <row r="13" spans="1:2" x14ac:dyDescent="0.25">
      <c r="A13" s="6"/>
      <c r="B13" s="63" t="s">
        <v>228</v>
      </c>
    </row>
    <row r="14" spans="1:2" ht="15.75" x14ac:dyDescent="0.25">
      <c r="A14" s="5" t="s">
        <v>215</v>
      </c>
      <c r="B14" s="62"/>
    </row>
    <row r="15" spans="1:2" x14ac:dyDescent="0.25">
      <c r="A15" s="6"/>
      <c r="B15" s="62" t="s">
        <v>219</v>
      </c>
    </row>
    <row r="16" spans="1:2" x14ac:dyDescent="0.25">
      <c r="A16" s="6"/>
      <c r="B16" s="62" t="s">
        <v>220</v>
      </c>
    </row>
    <row r="17" spans="1:2" x14ac:dyDescent="0.25">
      <c r="A17" s="6" t="s">
        <v>218</v>
      </c>
      <c r="B17" s="62"/>
    </row>
    <row r="18" spans="1:2" x14ac:dyDescent="0.25">
      <c r="A18" s="6"/>
      <c r="B18" s="62" t="s">
        <v>221</v>
      </c>
    </row>
    <row r="19" spans="1:2" x14ac:dyDescent="0.25">
      <c r="A19" s="6" t="s">
        <v>12</v>
      </c>
      <c r="B19" s="62"/>
    </row>
    <row r="20" spans="1:2" x14ac:dyDescent="0.25">
      <c r="B20" s="62" t="s">
        <v>15</v>
      </c>
    </row>
    <row r="21" spans="1:2" x14ac:dyDescent="0.25">
      <c r="B21" s="62" t="s">
        <v>61</v>
      </c>
    </row>
    <row r="22" spans="1:2" x14ac:dyDescent="0.25">
      <c r="B22" s="62" t="s">
        <v>83</v>
      </c>
    </row>
    <row r="23" spans="1:2" x14ac:dyDescent="0.25">
      <c r="A23" t="s">
        <v>7</v>
      </c>
      <c r="B23" s="62" t="s">
        <v>131</v>
      </c>
    </row>
    <row r="24" spans="1:2" x14ac:dyDescent="0.25">
      <c r="B24" s="62" t="s">
        <v>155</v>
      </c>
    </row>
    <row r="26" spans="1:2" x14ac:dyDescent="0.25">
      <c r="A26" s="7" t="s">
        <v>13</v>
      </c>
    </row>
    <row r="27" spans="1:2" ht="46.5" customHeight="1" x14ac:dyDescent="0.25">
      <c r="A27" s="55" t="s">
        <v>10</v>
      </c>
      <c r="B27" s="55"/>
    </row>
    <row r="39" spans="2:2" x14ac:dyDescent="0.25">
      <c r="B39" t="s">
        <v>7</v>
      </c>
    </row>
  </sheetData>
  <mergeCells count="1">
    <mergeCell ref="A27:B27"/>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5BA4C5-4641-429E-AC9A-DAED7A4ADCE9}">
  <sheetPr codeName="Sheet2"/>
  <dimension ref="A1:M41"/>
  <sheetViews>
    <sheetView workbookViewId="0">
      <selection activeCell="E16" sqref="E16"/>
    </sheetView>
  </sheetViews>
  <sheetFormatPr defaultRowHeight="15" x14ac:dyDescent="0.25"/>
  <cols>
    <col min="1" max="1" width="123.5703125" customWidth="1"/>
  </cols>
  <sheetData>
    <row r="1" spans="1:3" x14ac:dyDescent="0.25">
      <c r="A1" t="s">
        <v>8</v>
      </c>
    </row>
    <row r="3" spans="1:3" ht="24" customHeight="1" x14ac:dyDescent="0.25">
      <c r="A3" s="11" t="s">
        <v>16</v>
      </c>
    </row>
    <row r="4" spans="1:3" ht="45" x14ac:dyDescent="0.25">
      <c r="A4" s="9" t="s">
        <v>17</v>
      </c>
    </row>
    <row r="5" spans="1:3" x14ac:dyDescent="0.25">
      <c r="B5" t="s">
        <v>21</v>
      </c>
    </row>
    <row r="6" spans="1:3" x14ac:dyDescent="0.25">
      <c r="A6" t="s">
        <v>18</v>
      </c>
      <c r="B6" s="13" t="s">
        <v>22</v>
      </c>
      <c r="C6" s="10"/>
    </row>
    <row r="7" spans="1:3" x14ac:dyDescent="0.25">
      <c r="A7" t="s">
        <v>31</v>
      </c>
      <c r="B7" s="13" t="s">
        <v>23</v>
      </c>
      <c r="C7" s="10"/>
    </row>
    <row r="8" spans="1:3" x14ac:dyDescent="0.25">
      <c r="A8" t="s">
        <v>30</v>
      </c>
      <c r="B8" s="13" t="s">
        <v>24</v>
      </c>
      <c r="C8" s="10"/>
    </row>
    <row r="9" spans="1:3" x14ac:dyDescent="0.25">
      <c r="A9" t="s">
        <v>19</v>
      </c>
    </row>
    <row r="10" spans="1:3" x14ac:dyDescent="0.25">
      <c r="A10" t="s">
        <v>20</v>
      </c>
      <c r="B10" s="14" t="s">
        <v>28</v>
      </c>
    </row>
    <row r="19" spans="1:13" x14ac:dyDescent="0.25">
      <c r="A19" s="15" t="s">
        <v>29</v>
      </c>
      <c r="B19" t="s">
        <v>21</v>
      </c>
    </row>
    <row r="20" spans="1:13" x14ac:dyDescent="0.25">
      <c r="B20" s="13" t="s">
        <v>22</v>
      </c>
      <c r="C20" s="10">
        <v>1</v>
      </c>
      <c r="M20" t="s">
        <v>7</v>
      </c>
    </row>
    <row r="21" spans="1:13" x14ac:dyDescent="0.25">
      <c r="B21" s="13" t="s">
        <v>23</v>
      </c>
      <c r="C21" s="10">
        <v>0</v>
      </c>
    </row>
    <row r="22" spans="1:13" x14ac:dyDescent="0.25">
      <c r="B22" s="13" t="s">
        <v>24</v>
      </c>
      <c r="C22" s="10">
        <v>0</v>
      </c>
    </row>
    <row r="24" spans="1:13" x14ac:dyDescent="0.25">
      <c r="B24" s="14" t="s">
        <v>28</v>
      </c>
    </row>
    <row r="25" spans="1:13" x14ac:dyDescent="0.25">
      <c r="B25" t="s">
        <v>27</v>
      </c>
    </row>
    <row r="27" spans="1:13" x14ac:dyDescent="0.25">
      <c r="B27" t="s">
        <v>21</v>
      </c>
    </row>
    <row r="28" spans="1:13" x14ac:dyDescent="0.25">
      <c r="B28" s="13" t="s">
        <v>22</v>
      </c>
      <c r="C28" s="10">
        <v>1</v>
      </c>
    </row>
    <row r="29" spans="1:13" x14ac:dyDescent="0.25">
      <c r="B29" s="13" t="s">
        <v>23</v>
      </c>
      <c r="C29" s="10">
        <v>-5</v>
      </c>
    </row>
    <row r="30" spans="1:13" x14ac:dyDescent="0.25">
      <c r="B30" s="13" t="s">
        <v>24</v>
      </c>
      <c r="C30" s="10">
        <v>0</v>
      </c>
    </row>
    <row r="32" spans="1:13" x14ac:dyDescent="0.25">
      <c r="B32" s="14" t="s">
        <v>28</v>
      </c>
    </row>
    <row r="33" spans="2:3" x14ac:dyDescent="0.25">
      <c r="B33" t="s">
        <v>26</v>
      </c>
    </row>
    <row r="35" spans="2:3" x14ac:dyDescent="0.25">
      <c r="B35" t="s">
        <v>21</v>
      </c>
    </row>
    <row r="36" spans="2:3" x14ac:dyDescent="0.25">
      <c r="B36" s="13" t="s">
        <v>22</v>
      </c>
      <c r="C36" s="10">
        <v>1</v>
      </c>
    </row>
    <row r="37" spans="2:3" x14ac:dyDescent="0.25">
      <c r="B37" s="13" t="s">
        <v>23</v>
      </c>
      <c r="C37" s="10">
        <v>0</v>
      </c>
    </row>
    <row r="38" spans="2:3" x14ac:dyDescent="0.25">
      <c r="B38" s="13" t="s">
        <v>24</v>
      </c>
      <c r="C38" s="10">
        <v>2</v>
      </c>
    </row>
    <row r="40" spans="2:3" x14ac:dyDescent="0.25">
      <c r="B40" s="14" t="s">
        <v>28</v>
      </c>
    </row>
    <row r="41" spans="2:3" x14ac:dyDescent="0.25">
      <c r="B41" t="s">
        <v>25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LV28_If_Then">
                <anchor moveWithCells="1">
                  <from>
                    <xdr:col>0</xdr:col>
                    <xdr:colOff>161925</xdr:colOff>
                    <xdr:row>11</xdr:row>
                    <xdr:rowOff>66675</xdr:rowOff>
                  </from>
                  <to>
                    <xdr:col>0</xdr:col>
                    <xdr:colOff>2066925</xdr:colOff>
                    <xdr:row>13</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90F1E-09FF-4AC5-A089-74D960AF23AC}">
  <sheetPr codeName="Sheet8"/>
  <dimension ref="A1:L42"/>
  <sheetViews>
    <sheetView workbookViewId="0">
      <selection activeCell="J20" sqref="J20"/>
    </sheetView>
  </sheetViews>
  <sheetFormatPr defaultRowHeight="15" x14ac:dyDescent="0.25"/>
  <cols>
    <col min="2" max="2" width="18.7109375" customWidth="1"/>
    <col min="11" max="11" width="29.42578125" customWidth="1"/>
    <col min="12" max="12" width="21.140625" customWidth="1"/>
  </cols>
  <sheetData>
    <row r="1" spans="1:12" x14ac:dyDescent="0.25">
      <c r="A1" t="s">
        <v>62</v>
      </c>
    </row>
    <row r="3" spans="1:12" x14ac:dyDescent="0.25">
      <c r="B3" t="s">
        <v>63</v>
      </c>
    </row>
    <row r="5" spans="1:12" x14ac:dyDescent="0.25">
      <c r="B5" t="s">
        <v>64</v>
      </c>
      <c r="C5" t="s">
        <v>71</v>
      </c>
    </row>
    <row r="6" spans="1:12" x14ac:dyDescent="0.25">
      <c r="B6" s="17" t="s">
        <v>65</v>
      </c>
      <c r="C6" s="18">
        <v>0.1</v>
      </c>
    </row>
    <row r="7" spans="1:12" x14ac:dyDescent="0.25">
      <c r="B7" s="17" t="s">
        <v>66</v>
      </c>
      <c r="C7" s="18">
        <v>0.15</v>
      </c>
      <c r="K7" s="19" t="s">
        <v>75</v>
      </c>
      <c r="L7" s="19" t="s">
        <v>76</v>
      </c>
    </row>
    <row r="8" spans="1:12" x14ac:dyDescent="0.25">
      <c r="B8" s="17" t="s">
        <v>67</v>
      </c>
      <c r="C8" s="18">
        <v>0.25</v>
      </c>
      <c r="K8" s="10"/>
      <c r="L8" s="8"/>
    </row>
    <row r="9" spans="1:12" x14ac:dyDescent="0.25">
      <c r="B9" s="17" t="s">
        <v>68</v>
      </c>
      <c r="C9" s="18">
        <v>0.28000000000000003</v>
      </c>
    </row>
    <row r="10" spans="1:12" x14ac:dyDescent="0.25">
      <c r="B10" s="17" t="s">
        <v>69</v>
      </c>
      <c r="C10" s="18">
        <v>0.33</v>
      </c>
    </row>
    <row r="11" spans="1:12" x14ac:dyDescent="0.25">
      <c r="B11" s="17" t="s">
        <v>70</v>
      </c>
      <c r="C11" s="18">
        <v>0.35</v>
      </c>
    </row>
    <row r="13" spans="1:12" x14ac:dyDescent="0.25">
      <c r="B13" s="17" t="s">
        <v>72</v>
      </c>
    </row>
    <row r="14" spans="1:12" x14ac:dyDescent="0.25">
      <c r="B14" s="17" t="s">
        <v>73</v>
      </c>
    </row>
    <row r="15" spans="1:12" x14ac:dyDescent="0.25">
      <c r="B15" s="17" t="s">
        <v>74</v>
      </c>
    </row>
    <row r="18" spans="2:12" x14ac:dyDescent="0.25">
      <c r="B18" s="17" t="s">
        <v>77</v>
      </c>
    </row>
    <row r="19" spans="2:12" x14ac:dyDescent="0.25">
      <c r="B19" s="17" t="s">
        <v>78</v>
      </c>
    </row>
    <row r="20" spans="2:12" x14ac:dyDescent="0.25">
      <c r="B20" s="17" t="s">
        <v>81</v>
      </c>
    </row>
    <row r="21" spans="2:12" x14ac:dyDescent="0.25">
      <c r="B21" s="17" t="s">
        <v>79</v>
      </c>
    </row>
    <row r="29" spans="2:12" x14ac:dyDescent="0.25">
      <c r="J29" s="15" t="s">
        <v>82</v>
      </c>
      <c r="K29" s="19" t="s">
        <v>75</v>
      </c>
      <c r="L29" s="19" t="s">
        <v>76</v>
      </c>
    </row>
    <row r="30" spans="2:12" x14ac:dyDescent="0.25">
      <c r="K30" s="10">
        <v>25000</v>
      </c>
      <c r="L30" s="8">
        <v>3400</v>
      </c>
    </row>
    <row r="32" spans="2:12" x14ac:dyDescent="0.25">
      <c r="K32" s="19" t="s">
        <v>75</v>
      </c>
      <c r="L32" s="19" t="s">
        <v>76</v>
      </c>
    </row>
    <row r="33" spans="11:12" x14ac:dyDescent="0.25">
      <c r="K33" s="10">
        <v>50000</v>
      </c>
      <c r="L33" s="8">
        <v>9310</v>
      </c>
    </row>
    <row r="35" spans="11:12" x14ac:dyDescent="0.25">
      <c r="K35" s="19" t="s">
        <v>75</v>
      </c>
      <c r="L35" s="19" t="s">
        <v>76</v>
      </c>
    </row>
    <row r="36" spans="11:12" x14ac:dyDescent="0.25">
      <c r="K36" s="10">
        <v>75000</v>
      </c>
      <c r="L36" s="8">
        <v>15770</v>
      </c>
    </row>
    <row r="38" spans="11:12" x14ac:dyDescent="0.25">
      <c r="K38" s="19" t="s">
        <v>75</v>
      </c>
      <c r="L38" s="19" t="s">
        <v>76</v>
      </c>
    </row>
    <row r="39" spans="11:12" x14ac:dyDescent="0.25">
      <c r="K39" s="10">
        <v>175000</v>
      </c>
      <c r="L39" s="8">
        <v>45355</v>
      </c>
    </row>
    <row r="41" spans="11:12" x14ac:dyDescent="0.25">
      <c r="K41" s="19" t="s">
        <v>75</v>
      </c>
      <c r="L41" s="19" t="s">
        <v>76</v>
      </c>
    </row>
    <row r="42" spans="11:12" x14ac:dyDescent="0.25">
      <c r="K42" s="10">
        <v>-4</v>
      </c>
      <c r="L42" s="8" t="s">
        <v>80</v>
      </c>
    </row>
  </sheetData>
  <phoneticPr fontId="5"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LV29_If_Else_Taxes">
                <anchor moveWithCells="1" sizeWithCells="1">
                  <from>
                    <xdr:col>1</xdr:col>
                    <xdr:colOff>266700</xdr:colOff>
                    <xdr:row>22</xdr:row>
                    <xdr:rowOff>133350</xdr:rowOff>
                  </from>
                  <to>
                    <xdr:col>4</xdr:col>
                    <xdr:colOff>76200</xdr:colOff>
                    <xdr:row>25</xdr:row>
                    <xdr:rowOff>104775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B69C5-4D25-4D79-B536-A3E865E41C7F}">
  <sheetPr codeName="Sheet5"/>
  <dimension ref="A1:L36"/>
  <sheetViews>
    <sheetView workbookViewId="0">
      <selection activeCell="D19" sqref="D19"/>
    </sheetView>
  </sheetViews>
  <sheetFormatPr defaultRowHeight="15" x14ac:dyDescent="0.25"/>
  <cols>
    <col min="2" max="2" width="15.5703125" customWidth="1"/>
    <col min="11" max="11" width="16.42578125" customWidth="1"/>
  </cols>
  <sheetData>
    <row r="1" spans="1:12" x14ac:dyDescent="0.25">
      <c r="A1" t="s">
        <v>8</v>
      </c>
    </row>
    <row r="2" spans="1:12" x14ac:dyDescent="0.25">
      <c r="B2" t="s">
        <v>84</v>
      </c>
    </row>
    <row r="4" spans="1:12" x14ac:dyDescent="0.25">
      <c r="B4" t="s">
        <v>77</v>
      </c>
    </row>
    <row r="5" spans="1:12" x14ac:dyDescent="0.25">
      <c r="B5" t="s">
        <v>118</v>
      </c>
    </row>
    <row r="6" spans="1:12" x14ac:dyDescent="0.25">
      <c r="B6" t="s">
        <v>119</v>
      </c>
    </row>
    <row r="11" spans="1:12" x14ac:dyDescent="0.25">
      <c r="B11" s="20" t="s">
        <v>120</v>
      </c>
      <c r="J11" s="15"/>
      <c r="K11" t="s">
        <v>120</v>
      </c>
      <c r="L11" s="21" t="s">
        <v>121</v>
      </c>
    </row>
    <row r="12" spans="1:12" x14ac:dyDescent="0.25">
      <c r="K12">
        <v>1</v>
      </c>
    </row>
    <row r="13" spans="1:12" x14ac:dyDescent="0.25">
      <c r="K13">
        <v>2</v>
      </c>
    </row>
    <row r="14" spans="1:12" x14ac:dyDescent="0.25">
      <c r="K14">
        <v>3</v>
      </c>
    </row>
    <row r="15" spans="1:12" x14ac:dyDescent="0.25">
      <c r="K15">
        <v>4</v>
      </c>
    </row>
    <row r="16" spans="1:12" x14ac:dyDescent="0.25">
      <c r="K16">
        <v>5</v>
      </c>
    </row>
    <row r="17" spans="8:11" x14ac:dyDescent="0.25">
      <c r="K17">
        <v>6</v>
      </c>
    </row>
    <row r="18" spans="8:11" x14ac:dyDescent="0.25">
      <c r="K18">
        <v>7</v>
      </c>
    </row>
    <row r="19" spans="8:11" x14ac:dyDescent="0.25">
      <c r="K19">
        <v>8</v>
      </c>
    </row>
    <row r="20" spans="8:11" x14ac:dyDescent="0.25">
      <c r="K20">
        <v>9</v>
      </c>
    </row>
    <row r="21" spans="8:11" x14ac:dyDescent="0.25">
      <c r="K21">
        <v>10</v>
      </c>
    </row>
    <row r="22" spans="8:11" x14ac:dyDescent="0.25">
      <c r="K22">
        <v>11</v>
      </c>
    </row>
    <row r="23" spans="8:11" x14ac:dyDescent="0.25">
      <c r="H23" t="s">
        <v>7</v>
      </c>
      <c r="K23">
        <v>12</v>
      </c>
    </row>
    <row r="24" spans="8:11" x14ac:dyDescent="0.25">
      <c r="K24">
        <v>13</v>
      </c>
    </row>
    <row r="25" spans="8:11" x14ac:dyDescent="0.25">
      <c r="K25">
        <v>14</v>
      </c>
    </row>
    <row r="26" spans="8:11" x14ac:dyDescent="0.25">
      <c r="K26">
        <v>15</v>
      </c>
    </row>
    <row r="27" spans="8:11" x14ac:dyDescent="0.25">
      <c r="K27">
        <v>16</v>
      </c>
    </row>
    <row r="28" spans="8:11" x14ac:dyDescent="0.25">
      <c r="K28">
        <v>17</v>
      </c>
    </row>
    <row r="29" spans="8:11" x14ac:dyDescent="0.25">
      <c r="K29">
        <v>18</v>
      </c>
    </row>
    <row r="30" spans="8:11" x14ac:dyDescent="0.25">
      <c r="K30">
        <v>19</v>
      </c>
    </row>
    <row r="31" spans="8:11" x14ac:dyDescent="0.25">
      <c r="K31">
        <v>20</v>
      </c>
    </row>
    <row r="32" spans="8:11" x14ac:dyDescent="0.25">
      <c r="K32">
        <v>21</v>
      </c>
    </row>
    <row r="33" spans="11:11" x14ac:dyDescent="0.25">
      <c r="K33">
        <v>22</v>
      </c>
    </row>
    <row r="34" spans="11:11" x14ac:dyDescent="0.25">
      <c r="K34">
        <v>23</v>
      </c>
    </row>
    <row r="35" spans="11:11" x14ac:dyDescent="0.25">
      <c r="K35">
        <v>24</v>
      </c>
    </row>
    <row r="36" spans="11:11" x14ac:dyDescent="0.25">
      <c r="K36">
        <v>25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LV30_ForLoop_Column">
                <anchor moveWithCells="1" sizeWithCells="1">
                  <from>
                    <xdr:col>1</xdr:col>
                    <xdr:colOff>219075</xdr:colOff>
                    <xdr:row>6</xdr:row>
                    <xdr:rowOff>133350</xdr:rowOff>
                  </from>
                  <to>
                    <xdr:col>5</xdr:col>
                    <xdr:colOff>381000</xdr:colOff>
                    <xdr:row>9</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2AFAD-D29A-4D04-ADE1-1EFC13DE622F}">
  <sheetPr codeName="Sheet6"/>
  <dimension ref="A1:C58"/>
  <sheetViews>
    <sheetView workbookViewId="0">
      <selection activeCell="K17" sqref="K17"/>
    </sheetView>
  </sheetViews>
  <sheetFormatPr defaultRowHeight="15" x14ac:dyDescent="0.25"/>
  <cols>
    <col min="1" max="1" width="13.85546875" customWidth="1"/>
    <col min="2" max="2" width="12.42578125" customWidth="1"/>
    <col min="3" max="3" width="12.7109375" customWidth="1"/>
  </cols>
  <sheetData>
    <row r="1" spans="1:3" x14ac:dyDescent="0.25">
      <c r="A1" t="s">
        <v>8</v>
      </c>
    </row>
    <row r="2" spans="1:3" x14ac:dyDescent="0.25">
      <c r="B2" t="s">
        <v>132</v>
      </c>
    </row>
    <row r="4" spans="1:3" x14ac:dyDescent="0.25">
      <c r="B4" t="s">
        <v>77</v>
      </c>
    </row>
    <row r="5" spans="1:3" x14ac:dyDescent="0.25">
      <c r="B5" t="s">
        <v>133</v>
      </c>
    </row>
    <row r="6" spans="1:3" x14ac:dyDescent="0.25">
      <c r="B6" t="s">
        <v>136</v>
      </c>
    </row>
    <row r="8" spans="1:3" x14ac:dyDescent="0.25">
      <c r="A8" t="s">
        <v>134</v>
      </c>
      <c r="B8" t="s">
        <v>135</v>
      </c>
      <c r="C8" t="s">
        <v>137</v>
      </c>
    </row>
    <row r="9" spans="1:3" x14ac:dyDescent="0.25">
      <c r="A9">
        <v>1</v>
      </c>
      <c r="B9">
        <v>1</v>
      </c>
      <c r="C9">
        <v>2500</v>
      </c>
    </row>
    <row r="10" spans="1:3" x14ac:dyDescent="0.25">
      <c r="A10">
        <v>3</v>
      </c>
      <c r="B10">
        <v>4</v>
      </c>
    </row>
    <row r="11" spans="1:3" x14ac:dyDescent="0.25">
      <c r="A11">
        <v>5</v>
      </c>
      <c r="B11">
        <v>9</v>
      </c>
    </row>
    <row r="12" spans="1:3" x14ac:dyDescent="0.25">
      <c r="A12">
        <v>7</v>
      </c>
      <c r="B12">
        <v>16</v>
      </c>
    </row>
    <row r="13" spans="1:3" x14ac:dyDescent="0.25">
      <c r="A13">
        <v>9</v>
      </c>
      <c r="B13">
        <v>25</v>
      </c>
    </row>
    <row r="14" spans="1:3" x14ac:dyDescent="0.25">
      <c r="A14">
        <v>11</v>
      </c>
      <c r="B14">
        <v>36</v>
      </c>
    </row>
    <row r="15" spans="1:3" x14ac:dyDescent="0.25">
      <c r="A15">
        <v>13</v>
      </c>
      <c r="B15">
        <v>49</v>
      </c>
    </row>
    <row r="16" spans="1:3" x14ac:dyDescent="0.25">
      <c r="A16">
        <v>15</v>
      </c>
      <c r="B16">
        <v>64</v>
      </c>
    </row>
    <row r="17" spans="1:2" x14ac:dyDescent="0.25">
      <c r="A17">
        <v>17</v>
      </c>
      <c r="B17">
        <v>81</v>
      </c>
    </row>
    <row r="18" spans="1:2" x14ac:dyDescent="0.25">
      <c r="A18">
        <v>19</v>
      </c>
      <c r="B18">
        <v>100</v>
      </c>
    </row>
    <row r="19" spans="1:2" x14ac:dyDescent="0.25">
      <c r="A19">
        <v>21</v>
      </c>
      <c r="B19">
        <v>121</v>
      </c>
    </row>
    <row r="20" spans="1:2" x14ac:dyDescent="0.25">
      <c r="A20">
        <v>23</v>
      </c>
      <c r="B20">
        <v>144</v>
      </c>
    </row>
    <row r="21" spans="1:2" x14ac:dyDescent="0.25">
      <c r="A21">
        <v>25</v>
      </c>
      <c r="B21">
        <v>169</v>
      </c>
    </row>
    <row r="22" spans="1:2" x14ac:dyDescent="0.25">
      <c r="A22">
        <v>27</v>
      </c>
      <c r="B22">
        <v>196</v>
      </c>
    </row>
    <row r="23" spans="1:2" x14ac:dyDescent="0.25">
      <c r="A23">
        <v>29</v>
      </c>
      <c r="B23">
        <v>225</v>
      </c>
    </row>
    <row r="24" spans="1:2" x14ac:dyDescent="0.25">
      <c r="A24">
        <v>31</v>
      </c>
      <c r="B24">
        <v>256</v>
      </c>
    </row>
    <row r="25" spans="1:2" x14ac:dyDescent="0.25">
      <c r="A25">
        <v>33</v>
      </c>
      <c r="B25">
        <v>289</v>
      </c>
    </row>
    <row r="26" spans="1:2" x14ac:dyDescent="0.25">
      <c r="A26">
        <v>35</v>
      </c>
      <c r="B26">
        <v>324</v>
      </c>
    </row>
    <row r="27" spans="1:2" x14ac:dyDescent="0.25">
      <c r="A27">
        <v>37</v>
      </c>
      <c r="B27">
        <v>361</v>
      </c>
    </row>
    <row r="28" spans="1:2" x14ac:dyDescent="0.25">
      <c r="A28">
        <v>39</v>
      </c>
      <c r="B28">
        <v>400</v>
      </c>
    </row>
    <row r="29" spans="1:2" x14ac:dyDescent="0.25">
      <c r="A29">
        <v>41</v>
      </c>
      <c r="B29">
        <v>441</v>
      </c>
    </row>
    <row r="30" spans="1:2" x14ac:dyDescent="0.25">
      <c r="A30">
        <v>43</v>
      </c>
      <c r="B30">
        <v>484</v>
      </c>
    </row>
    <row r="31" spans="1:2" x14ac:dyDescent="0.25">
      <c r="A31">
        <v>45</v>
      </c>
      <c r="B31">
        <v>529</v>
      </c>
    </row>
    <row r="32" spans="1:2" x14ac:dyDescent="0.25">
      <c r="A32">
        <v>47</v>
      </c>
      <c r="B32">
        <v>576</v>
      </c>
    </row>
    <row r="33" spans="1:2" x14ac:dyDescent="0.25">
      <c r="A33">
        <v>49</v>
      </c>
      <c r="B33">
        <v>625</v>
      </c>
    </row>
    <row r="34" spans="1:2" x14ac:dyDescent="0.25">
      <c r="A34">
        <v>51</v>
      </c>
      <c r="B34">
        <v>676</v>
      </c>
    </row>
    <row r="35" spans="1:2" x14ac:dyDescent="0.25">
      <c r="A35">
        <v>53</v>
      </c>
      <c r="B35">
        <v>729</v>
      </c>
    </row>
    <row r="36" spans="1:2" x14ac:dyDescent="0.25">
      <c r="A36">
        <v>55</v>
      </c>
      <c r="B36">
        <v>784</v>
      </c>
    </row>
    <row r="37" spans="1:2" x14ac:dyDescent="0.25">
      <c r="A37">
        <v>57</v>
      </c>
      <c r="B37">
        <v>841</v>
      </c>
    </row>
    <row r="38" spans="1:2" x14ac:dyDescent="0.25">
      <c r="A38">
        <v>59</v>
      </c>
      <c r="B38">
        <v>900</v>
      </c>
    </row>
    <row r="39" spans="1:2" x14ac:dyDescent="0.25">
      <c r="A39">
        <v>61</v>
      </c>
      <c r="B39">
        <v>961</v>
      </c>
    </row>
    <row r="40" spans="1:2" x14ac:dyDescent="0.25">
      <c r="A40">
        <v>63</v>
      </c>
      <c r="B40">
        <v>1024</v>
      </c>
    </row>
    <row r="41" spans="1:2" x14ac:dyDescent="0.25">
      <c r="A41">
        <v>65</v>
      </c>
      <c r="B41">
        <v>1089</v>
      </c>
    </row>
    <row r="42" spans="1:2" x14ac:dyDescent="0.25">
      <c r="A42">
        <v>67</v>
      </c>
      <c r="B42">
        <v>1156</v>
      </c>
    </row>
    <row r="43" spans="1:2" x14ac:dyDescent="0.25">
      <c r="A43">
        <v>69</v>
      </c>
      <c r="B43">
        <v>1225</v>
      </c>
    </row>
    <row r="44" spans="1:2" x14ac:dyDescent="0.25">
      <c r="A44">
        <v>71</v>
      </c>
      <c r="B44">
        <v>1296</v>
      </c>
    </row>
    <row r="45" spans="1:2" x14ac:dyDescent="0.25">
      <c r="A45">
        <v>73</v>
      </c>
      <c r="B45">
        <v>1369</v>
      </c>
    </row>
    <row r="46" spans="1:2" x14ac:dyDescent="0.25">
      <c r="A46">
        <v>75</v>
      </c>
      <c r="B46">
        <v>1444</v>
      </c>
    </row>
    <row r="47" spans="1:2" x14ac:dyDescent="0.25">
      <c r="A47">
        <v>77</v>
      </c>
      <c r="B47">
        <v>1521</v>
      </c>
    </row>
    <row r="48" spans="1:2" x14ac:dyDescent="0.25">
      <c r="A48">
        <v>79</v>
      </c>
      <c r="B48">
        <v>1600</v>
      </c>
    </row>
    <row r="49" spans="1:2" x14ac:dyDescent="0.25">
      <c r="A49">
        <v>81</v>
      </c>
      <c r="B49">
        <v>1681</v>
      </c>
    </row>
    <row r="50" spans="1:2" x14ac:dyDescent="0.25">
      <c r="A50">
        <v>83</v>
      </c>
      <c r="B50">
        <v>1764</v>
      </c>
    </row>
    <row r="51" spans="1:2" x14ac:dyDescent="0.25">
      <c r="A51">
        <v>85</v>
      </c>
      <c r="B51">
        <v>1849</v>
      </c>
    </row>
    <row r="52" spans="1:2" x14ac:dyDescent="0.25">
      <c r="A52">
        <v>87</v>
      </c>
      <c r="B52">
        <v>1936</v>
      </c>
    </row>
    <row r="53" spans="1:2" x14ac:dyDescent="0.25">
      <c r="A53">
        <v>89</v>
      </c>
      <c r="B53">
        <v>2025</v>
      </c>
    </row>
    <row r="54" spans="1:2" x14ac:dyDescent="0.25">
      <c r="A54">
        <v>91</v>
      </c>
      <c r="B54">
        <v>2116</v>
      </c>
    </row>
    <row r="55" spans="1:2" x14ac:dyDescent="0.25">
      <c r="A55">
        <v>93</v>
      </c>
      <c r="B55">
        <v>2209</v>
      </c>
    </row>
    <row r="56" spans="1:2" x14ac:dyDescent="0.25">
      <c r="A56">
        <v>95</v>
      </c>
      <c r="B56">
        <v>2304</v>
      </c>
    </row>
    <row r="57" spans="1:2" x14ac:dyDescent="0.25">
      <c r="A57">
        <v>97</v>
      </c>
      <c r="B57">
        <v>2401</v>
      </c>
    </row>
    <row r="58" spans="1:2" x14ac:dyDescent="0.25">
      <c r="A58">
        <v>99</v>
      </c>
      <c r="B58">
        <v>2500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LV31_Odd_Sum_Loop">
                <anchor moveWithCells="1" sizeWithCells="1">
                  <from>
                    <xdr:col>5</xdr:col>
                    <xdr:colOff>190500</xdr:colOff>
                    <xdr:row>6</xdr:row>
                    <xdr:rowOff>152400</xdr:rowOff>
                  </from>
                  <to>
                    <xdr:col>9</xdr:col>
                    <xdr:colOff>85725</xdr:colOff>
                    <xdr:row>9</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F3661F-49A7-49A2-8365-5EF2746F76D1}">
  <sheetPr codeName="Sheet4"/>
  <dimension ref="A1:N307"/>
  <sheetViews>
    <sheetView workbookViewId="0">
      <selection activeCell="B23" sqref="B23"/>
    </sheetView>
  </sheetViews>
  <sheetFormatPr defaultRowHeight="15" x14ac:dyDescent="0.25"/>
  <cols>
    <col min="2" max="2" width="87.28515625" customWidth="1"/>
    <col min="4" max="4" width="16.5703125" customWidth="1"/>
    <col min="5" max="5" width="22.7109375" customWidth="1"/>
    <col min="6" max="6" width="21.28515625" customWidth="1"/>
    <col min="7" max="7" width="33.42578125" customWidth="1"/>
    <col min="11" max="12" width="18.5703125" customWidth="1"/>
    <col min="13" max="13" width="22.42578125" customWidth="1"/>
    <col min="14" max="14" width="18.5703125" customWidth="1"/>
  </cols>
  <sheetData>
    <row r="1" spans="1:14" x14ac:dyDescent="0.25">
      <c r="A1" t="s">
        <v>8</v>
      </c>
    </row>
    <row r="2" spans="1:14" x14ac:dyDescent="0.25">
      <c r="D2" s="8" t="s">
        <v>159</v>
      </c>
      <c r="E2" s="8" t="s">
        <v>162</v>
      </c>
      <c r="F2" s="8" t="s">
        <v>168</v>
      </c>
      <c r="G2" s="8" t="s">
        <v>243</v>
      </c>
    </row>
    <row r="3" spans="1:14" x14ac:dyDescent="0.25">
      <c r="D3" s="13" t="s">
        <v>160</v>
      </c>
      <c r="E3" s="10"/>
      <c r="F3" s="13" t="s">
        <v>167</v>
      </c>
      <c r="G3" s="26"/>
    </row>
    <row r="4" spans="1:14" x14ac:dyDescent="0.25">
      <c r="D4" s="13" t="s">
        <v>161</v>
      </c>
      <c r="E4" s="10"/>
    </row>
    <row r="6" spans="1:14" x14ac:dyDescent="0.25">
      <c r="D6" s="23" t="s">
        <v>163</v>
      </c>
      <c r="E6" s="23" t="s">
        <v>164</v>
      </c>
      <c r="F6" s="13" t="s">
        <v>165</v>
      </c>
      <c r="G6" s="26"/>
    </row>
    <row r="7" spans="1:14" x14ac:dyDescent="0.25">
      <c r="D7" s="23"/>
      <c r="E7" s="25"/>
      <c r="F7" s="24" t="s">
        <v>166</v>
      </c>
      <c r="G7" s="8"/>
    </row>
    <row r="8" spans="1:14" x14ac:dyDescent="0.25">
      <c r="D8" s="23"/>
      <c r="E8" s="25"/>
    </row>
    <row r="9" spans="1:14" x14ac:dyDescent="0.25">
      <c r="D9" s="23"/>
      <c r="E9" s="25"/>
      <c r="J9" s="15" t="s">
        <v>214</v>
      </c>
      <c r="K9" s="8" t="s">
        <v>159</v>
      </c>
      <c r="L9" s="8" t="s">
        <v>162</v>
      </c>
      <c r="M9" s="8" t="s">
        <v>168</v>
      </c>
      <c r="N9" s="8" t="s">
        <v>243</v>
      </c>
    </row>
    <row r="10" spans="1:14" x14ac:dyDescent="0.25">
      <c r="D10" s="23"/>
      <c r="E10" s="25"/>
      <c r="K10" s="13" t="s">
        <v>160</v>
      </c>
      <c r="L10" s="10">
        <v>2</v>
      </c>
      <c r="M10" s="13" t="s">
        <v>167</v>
      </c>
      <c r="N10" s="26">
        <v>3.4906585039886591E-2</v>
      </c>
    </row>
    <row r="11" spans="1:14" x14ac:dyDescent="0.25">
      <c r="B11" t="s">
        <v>77</v>
      </c>
      <c r="D11" s="23"/>
      <c r="E11" s="25"/>
      <c r="K11" s="13" t="s">
        <v>161</v>
      </c>
      <c r="L11" s="10">
        <v>5.0000000000000001E-4</v>
      </c>
    </row>
    <row r="12" spans="1:14" x14ac:dyDescent="0.25">
      <c r="B12" t="s">
        <v>156</v>
      </c>
      <c r="D12" s="23"/>
      <c r="E12" s="22"/>
    </row>
    <row r="13" spans="1:14" x14ac:dyDescent="0.25">
      <c r="B13" t="s">
        <v>158</v>
      </c>
      <c r="D13" s="23"/>
      <c r="E13" s="22"/>
      <c r="K13" s="23" t="s">
        <v>163</v>
      </c>
      <c r="L13" s="23" t="s">
        <v>164</v>
      </c>
      <c r="M13" s="13" t="s">
        <v>165</v>
      </c>
      <c r="N13" s="26">
        <v>3.489240750139537E-2</v>
      </c>
    </row>
    <row r="14" spans="1:14" x14ac:dyDescent="0.25">
      <c r="B14" t="s">
        <v>157</v>
      </c>
      <c r="D14" s="23"/>
      <c r="E14" s="8"/>
      <c r="K14" s="23">
        <v>1</v>
      </c>
      <c r="L14" s="25">
        <v>3.4906585039886591E-2</v>
      </c>
      <c r="M14" s="24" t="s">
        <v>166</v>
      </c>
      <c r="N14" s="8">
        <v>2</v>
      </c>
    </row>
    <row r="15" spans="1:14" x14ac:dyDescent="0.25">
      <c r="B15" t="s">
        <v>169</v>
      </c>
      <c r="D15" s="23"/>
      <c r="E15" s="8"/>
      <c r="K15" s="23">
        <v>2</v>
      </c>
      <c r="L15" s="25">
        <v>3.489240750139537E-2</v>
      </c>
    </row>
    <row r="16" spans="1:14" x14ac:dyDescent="0.25">
      <c r="D16" s="23"/>
      <c r="E16" s="8"/>
      <c r="K16" s="23"/>
      <c r="L16" s="25"/>
    </row>
    <row r="17" spans="2:12" x14ac:dyDescent="0.25">
      <c r="D17" s="23"/>
      <c r="E17" s="8"/>
      <c r="K17" s="23"/>
      <c r="L17" s="25"/>
    </row>
    <row r="18" spans="2:12" x14ac:dyDescent="0.25">
      <c r="D18" s="23"/>
      <c r="E18" s="8"/>
      <c r="K18" s="23"/>
      <c r="L18" s="25"/>
    </row>
    <row r="19" spans="2:12" x14ac:dyDescent="0.25">
      <c r="D19" s="23"/>
      <c r="E19" s="8"/>
      <c r="K19" s="23"/>
      <c r="L19" s="22"/>
    </row>
    <row r="20" spans="2:12" x14ac:dyDescent="0.25">
      <c r="B20" t="s">
        <v>437</v>
      </c>
      <c r="D20" s="23"/>
      <c r="E20" s="8"/>
      <c r="K20" s="23"/>
      <c r="L20" s="22"/>
    </row>
    <row r="21" spans="2:12" x14ac:dyDescent="0.25">
      <c r="B21" t="s">
        <v>438</v>
      </c>
      <c r="D21" s="23"/>
      <c r="E21" s="8"/>
      <c r="K21" s="23"/>
      <c r="L21" s="8"/>
    </row>
    <row r="22" spans="2:12" x14ac:dyDescent="0.25">
      <c r="B22" t="s">
        <v>439</v>
      </c>
      <c r="D22" s="23"/>
      <c r="E22" s="8"/>
      <c r="K22" s="23"/>
      <c r="L22" s="8"/>
    </row>
    <row r="23" spans="2:12" x14ac:dyDescent="0.25">
      <c r="B23" t="s">
        <v>440</v>
      </c>
      <c r="D23" s="23"/>
      <c r="E23" s="8"/>
      <c r="K23" s="23"/>
      <c r="L23" s="8"/>
    </row>
    <row r="24" spans="2:12" x14ac:dyDescent="0.25">
      <c r="D24" s="23"/>
      <c r="E24" s="8"/>
    </row>
    <row r="25" spans="2:12" x14ac:dyDescent="0.25">
      <c r="D25" s="23"/>
      <c r="E25" s="8"/>
    </row>
    <row r="26" spans="2:12" x14ac:dyDescent="0.25">
      <c r="D26" s="23"/>
      <c r="E26" s="8"/>
    </row>
    <row r="27" spans="2:12" x14ac:dyDescent="0.25">
      <c r="D27" s="23"/>
      <c r="E27" s="8"/>
    </row>
    <row r="28" spans="2:12" x14ac:dyDescent="0.25">
      <c r="D28" s="23"/>
      <c r="E28" s="8"/>
    </row>
    <row r="29" spans="2:12" x14ac:dyDescent="0.25">
      <c r="D29" s="23"/>
      <c r="E29" s="8"/>
    </row>
    <row r="30" spans="2:12" x14ac:dyDescent="0.25">
      <c r="D30" s="23"/>
      <c r="E30" s="8"/>
    </row>
    <row r="31" spans="2:12" x14ac:dyDescent="0.25">
      <c r="D31" s="23"/>
      <c r="E31" s="8"/>
    </row>
    <row r="32" spans="2:12" x14ac:dyDescent="0.25">
      <c r="D32" s="23"/>
      <c r="E32" s="8"/>
    </row>
    <row r="33" spans="4:5" x14ac:dyDescent="0.25">
      <c r="D33" s="23"/>
      <c r="E33" s="8"/>
    </row>
    <row r="34" spans="4:5" x14ac:dyDescent="0.25">
      <c r="D34" s="23"/>
      <c r="E34" s="8"/>
    </row>
    <row r="35" spans="4:5" x14ac:dyDescent="0.25">
      <c r="D35" s="23"/>
      <c r="E35" s="8"/>
    </row>
    <row r="36" spans="4:5" x14ac:dyDescent="0.25">
      <c r="D36" s="23"/>
      <c r="E36" s="8"/>
    </row>
    <row r="37" spans="4:5" x14ac:dyDescent="0.25">
      <c r="D37" s="23"/>
      <c r="E37" s="8"/>
    </row>
    <row r="38" spans="4:5" x14ac:dyDescent="0.25">
      <c r="D38" s="23"/>
      <c r="E38" s="8"/>
    </row>
    <row r="39" spans="4:5" x14ac:dyDescent="0.25">
      <c r="D39" s="23"/>
      <c r="E39" s="8"/>
    </row>
    <row r="40" spans="4:5" x14ac:dyDescent="0.25">
      <c r="D40" s="23"/>
      <c r="E40" s="8"/>
    </row>
    <row r="41" spans="4:5" x14ac:dyDescent="0.25">
      <c r="D41" s="23"/>
      <c r="E41" s="8"/>
    </row>
    <row r="42" spans="4:5" x14ac:dyDescent="0.25">
      <c r="D42" s="23"/>
      <c r="E42" s="8"/>
    </row>
    <row r="43" spans="4:5" x14ac:dyDescent="0.25">
      <c r="D43" s="23"/>
      <c r="E43" s="8"/>
    </row>
    <row r="44" spans="4:5" x14ac:dyDescent="0.25">
      <c r="D44" s="23"/>
      <c r="E44" s="8"/>
    </row>
    <row r="45" spans="4:5" x14ac:dyDescent="0.25">
      <c r="D45" s="23"/>
      <c r="E45" s="8"/>
    </row>
    <row r="46" spans="4:5" x14ac:dyDescent="0.25">
      <c r="D46" s="23"/>
      <c r="E46" s="8"/>
    </row>
    <row r="47" spans="4:5" x14ac:dyDescent="0.25">
      <c r="D47" s="23"/>
      <c r="E47" s="8"/>
    </row>
    <row r="48" spans="4:5" x14ac:dyDescent="0.25">
      <c r="D48" s="23"/>
      <c r="E48" s="8"/>
    </row>
    <row r="49" spans="4:5" x14ac:dyDescent="0.25">
      <c r="D49" s="23"/>
      <c r="E49" s="8"/>
    </row>
    <row r="50" spans="4:5" x14ac:dyDescent="0.25">
      <c r="D50" s="23"/>
      <c r="E50" s="8"/>
    </row>
    <row r="51" spans="4:5" x14ac:dyDescent="0.25">
      <c r="D51" s="23"/>
      <c r="E51" s="8"/>
    </row>
    <row r="52" spans="4:5" x14ac:dyDescent="0.25">
      <c r="D52" s="23"/>
      <c r="E52" s="8"/>
    </row>
    <row r="53" spans="4:5" x14ac:dyDescent="0.25">
      <c r="D53" s="23"/>
      <c r="E53" s="8"/>
    </row>
    <row r="54" spans="4:5" x14ac:dyDescent="0.25">
      <c r="D54" s="23"/>
      <c r="E54" s="8"/>
    </row>
    <row r="55" spans="4:5" x14ac:dyDescent="0.25">
      <c r="D55" s="23"/>
      <c r="E55" s="8"/>
    </row>
    <row r="56" spans="4:5" x14ac:dyDescent="0.25">
      <c r="D56" s="23"/>
      <c r="E56" s="8"/>
    </row>
    <row r="57" spans="4:5" x14ac:dyDescent="0.25">
      <c r="D57" s="23"/>
      <c r="E57" s="8"/>
    </row>
    <row r="58" spans="4:5" x14ac:dyDescent="0.25">
      <c r="D58" s="23"/>
      <c r="E58" s="8"/>
    </row>
    <row r="59" spans="4:5" x14ac:dyDescent="0.25">
      <c r="D59" s="23"/>
      <c r="E59" s="8"/>
    </row>
    <row r="60" spans="4:5" x14ac:dyDescent="0.25">
      <c r="D60" s="23"/>
      <c r="E60" s="8"/>
    </row>
    <row r="61" spans="4:5" x14ac:dyDescent="0.25">
      <c r="D61" s="23"/>
      <c r="E61" s="8"/>
    </row>
    <row r="62" spans="4:5" x14ac:dyDescent="0.25">
      <c r="D62" s="23"/>
      <c r="E62" s="8"/>
    </row>
    <row r="63" spans="4:5" x14ac:dyDescent="0.25">
      <c r="D63" s="23"/>
      <c r="E63" s="8"/>
    </row>
    <row r="64" spans="4:5" x14ac:dyDescent="0.25">
      <c r="D64" s="23"/>
      <c r="E64" s="8"/>
    </row>
    <row r="65" spans="2:7" x14ac:dyDescent="0.25">
      <c r="D65" s="23"/>
      <c r="E65" s="8"/>
    </row>
    <row r="66" spans="2:7" x14ac:dyDescent="0.25">
      <c r="D66" s="23"/>
      <c r="E66" s="8"/>
    </row>
    <row r="67" spans="2:7" x14ac:dyDescent="0.25">
      <c r="D67" s="23"/>
      <c r="E67" s="8"/>
    </row>
    <row r="68" spans="2:7" x14ac:dyDescent="0.25">
      <c r="D68" s="23"/>
      <c r="E68" s="8"/>
    </row>
    <row r="69" spans="2:7" x14ac:dyDescent="0.25">
      <c r="D69" s="23"/>
      <c r="E69" s="8"/>
    </row>
    <row r="70" spans="2:7" x14ac:dyDescent="0.25">
      <c r="D70" s="23"/>
      <c r="E70" s="8"/>
    </row>
    <row r="71" spans="2:7" x14ac:dyDescent="0.25">
      <c r="B71" s="28"/>
      <c r="C71" s="38"/>
      <c r="D71" s="23"/>
      <c r="E71" s="8"/>
      <c r="F71" s="28"/>
      <c r="G71" s="28"/>
    </row>
    <row r="72" spans="2:7" x14ac:dyDescent="0.25">
      <c r="B72" s="28"/>
      <c r="C72" s="28"/>
      <c r="D72" s="23"/>
      <c r="E72" s="8"/>
      <c r="F72" s="34"/>
      <c r="G72" s="39"/>
    </row>
    <row r="73" spans="2:7" x14ac:dyDescent="0.25">
      <c r="B73" s="28"/>
      <c r="C73" s="28"/>
      <c r="D73" s="23"/>
      <c r="E73" s="8"/>
      <c r="F73" s="28"/>
      <c r="G73" s="28"/>
    </row>
    <row r="74" spans="2:7" x14ac:dyDescent="0.25">
      <c r="B74" s="28"/>
      <c r="C74" s="28"/>
      <c r="D74" s="23"/>
      <c r="E74" s="8"/>
      <c r="F74" s="28"/>
      <c r="G74" s="28"/>
    </row>
    <row r="75" spans="2:7" x14ac:dyDescent="0.25">
      <c r="B75" s="28"/>
      <c r="C75" s="28"/>
      <c r="D75" s="23"/>
      <c r="E75" s="8"/>
      <c r="F75" s="34"/>
      <c r="G75" s="39"/>
    </row>
    <row r="76" spans="2:7" x14ac:dyDescent="0.25">
      <c r="B76" s="28"/>
      <c r="C76" s="28"/>
      <c r="D76" s="23"/>
      <c r="E76" s="8"/>
      <c r="F76" s="34"/>
      <c r="G76" s="28"/>
    </row>
    <row r="77" spans="2:7" x14ac:dyDescent="0.25">
      <c r="B77" s="28"/>
      <c r="C77" s="28"/>
      <c r="D77" s="23"/>
      <c r="E77" s="8"/>
      <c r="F77" s="28"/>
      <c r="G77" s="28"/>
    </row>
    <row r="78" spans="2:7" x14ac:dyDescent="0.25">
      <c r="B78" s="28"/>
      <c r="C78" s="28"/>
      <c r="D78" s="23"/>
      <c r="E78" s="8"/>
      <c r="F78" s="28"/>
      <c r="G78" s="28"/>
    </row>
    <row r="79" spans="2:7" x14ac:dyDescent="0.25">
      <c r="B79" s="28"/>
      <c r="C79" s="28"/>
      <c r="D79" s="23"/>
      <c r="E79" s="8"/>
      <c r="F79" s="28"/>
      <c r="G79" s="28"/>
    </row>
    <row r="80" spans="2:7" x14ac:dyDescent="0.25">
      <c r="B80" s="28"/>
      <c r="C80" s="28"/>
      <c r="D80" s="23"/>
      <c r="E80" s="8"/>
      <c r="F80" s="28"/>
      <c r="G80" s="28"/>
    </row>
    <row r="81" spans="2:7" x14ac:dyDescent="0.25">
      <c r="B81" s="28"/>
      <c r="C81" s="28"/>
      <c r="D81" s="23"/>
      <c r="E81" s="8"/>
      <c r="F81" s="28"/>
      <c r="G81" s="28"/>
    </row>
    <row r="82" spans="2:7" x14ac:dyDescent="0.25">
      <c r="B82" s="28"/>
      <c r="C82" s="28"/>
      <c r="D82" s="23"/>
      <c r="E82" s="8"/>
      <c r="F82" s="28"/>
      <c r="G82" s="28"/>
    </row>
    <row r="83" spans="2:7" x14ac:dyDescent="0.25">
      <c r="B83" s="28"/>
      <c r="C83" s="28"/>
      <c r="D83" s="23"/>
      <c r="E83" s="8"/>
      <c r="F83" s="28"/>
      <c r="G83" s="28"/>
    </row>
    <row r="84" spans="2:7" x14ac:dyDescent="0.25">
      <c r="B84" s="28"/>
      <c r="C84" s="28"/>
      <c r="D84" s="23"/>
      <c r="E84" s="8"/>
      <c r="F84" s="28"/>
      <c r="G84" s="28"/>
    </row>
    <row r="85" spans="2:7" x14ac:dyDescent="0.25">
      <c r="B85" s="28"/>
      <c r="C85" s="28"/>
      <c r="D85" s="23"/>
      <c r="E85" s="8"/>
      <c r="F85" s="28"/>
      <c r="G85" s="28"/>
    </row>
    <row r="86" spans="2:7" x14ac:dyDescent="0.25">
      <c r="B86" s="28"/>
      <c r="C86" s="28"/>
      <c r="D86" s="23"/>
      <c r="E86" s="8"/>
      <c r="F86" s="28"/>
      <c r="G86" s="28"/>
    </row>
    <row r="87" spans="2:7" x14ac:dyDescent="0.25">
      <c r="D87" s="23"/>
      <c r="E87" s="8"/>
    </row>
    <row r="88" spans="2:7" x14ac:dyDescent="0.25">
      <c r="D88" s="23"/>
      <c r="E88" s="8"/>
    </row>
    <row r="89" spans="2:7" x14ac:dyDescent="0.25">
      <c r="D89" s="23"/>
      <c r="E89" s="8"/>
    </row>
    <row r="90" spans="2:7" x14ac:dyDescent="0.25">
      <c r="D90" s="23"/>
      <c r="E90" s="8"/>
    </row>
    <row r="91" spans="2:7" x14ac:dyDescent="0.25">
      <c r="D91" s="23"/>
      <c r="E91" s="8"/>
    </row>
    <row r="92" spans="2:7" x14ac:dyDescent="0.25">
      <c r="D92" s="23"/>
      <c r="E92" s="8"/>
    </row>
    <row r="93" spans="2:7" x14ac:dyDescent="0.25">
      <c r="D93" s="23"/>
      <c r="E93" s="8"/>
    </row>
    <row r="94" spans="2:7" x14ac:dyDescent="0.25">
      <c r="D94" s="23"/>
      <c r="E94" s="8"/>
    </row>
    <row r="95" spans="2:7" x14ac:dyDescent="0.25">
      <c r="D95" s="23"/>
      <c r="E95" s="8"/>
    </row>
    <row r="96" spans="2:7" x14ac:dyDescent="0.25">
      <c r="D96" s="23"/>
      <c r="E96" s="8"/>
    </row>
    <row r="97" spans="4:5" x14ac:dyDescent="0.25">
      <c r="D97" s="23"/>
      <c r="E97" s="8"/>
    </row>
    <row r="98" spans="4:5" x14ac:dyDescent="0.25">
      <c r="D98" s="23"/>
      <c r="E98" s="8"/>
    </row>
    <row r="99" spans="4:5" x14ac:dyDescent="0.25">
      <c r="D99" s="23"/>
      <c r="E99" s="8"/>
    </row>
    <row r="100" spans="4:5" x14ac:dyDescent="0.25">
      <c r="D100" s="23"/>
      <c r="E100" s="8"/>
    </row>
    <row r="101" spans="4:5" x14ac:dyDescent="0.25">
      <c r="D101" s="23"/>
      <c r="E101" s="8"/>
    </row>
    <row r="102" spans="4:5" x14ac:dyDescent="0.25">
      <c r="D102" s="23"/>
      <c r="E102" s="8"/>
    </row>
    <row r="103" spans="4:5" x14ac:dyDescent="0.25">
      <c r="D103" s="23"/>
      <c r="E103" s="8"/>
    </row>
    <row r="104" spans="4:5" x14ac:dyDescent="0.25">
      <c r="D104" s="23"/>
      <c r="E104" s="8"/>
    </row>
    <row r="105" spans="4:5" x14ac:dyDescent="0.25">
      <c r="D105" s="23"/>
      <c r="E105" s="8"/>
    </row>
    <row r="106" spans="4:5" x14ac:dyDescent="0.25">
      <c r="D106" s="23"/>
      <c r="E106" s="8"/>
    </row>
    <row r="107" spans="4:5" x14ac:dyDescent="0.25">
      <c r="D107" s="23"/>
      <c r="E107" s="8"/>
    </row>
    <row r="108" spans="4:5" x14ac:dyDescent="0.25">
      <c r="D108" s="23"/>
      <c r="E108" s="8"/>
    </row>
    <row r="109" spans="4:5" x14ac:dyDescent="0.25">
      <c r="D109" s="23"/>
      <c r="E109" s="8"/>
    </row>
    <row r="110" spans="4:5" x14ac:dyDescent="0.25">
      <c r="D110" s="23"/>
      <c r="E110" s="8"/>
    </row>
    <row r="111" spans="4:5" x14ac:dyDescent="0.25">
      <c r="D111" s="23"/>
      <c r="E111" s="8"/>
    </row>
    <row r="112" spans="4:5" x14ac:dyDescent="0.25">
      <c r="D112" s="23"/>
      <c r="E112" s="8"/>
    </row>
    <row r="113" spans="4:5" x14ac:dyDescent="0.25">
      <c r="D113" s="23"/>
      <c r="E113" s="8"/>
    </row>
    <row r="114" spans="4:5" x14ac:dyDescent="0.25">
      <c r="D114" s="23"/>
      <c r="E114" s="8"/>
    </row>
    <row r="115" spans="4:5" x14ac:dyDescent="0.25">
      <c r="D115" s="23"/>
      <c r="E115" s="8"/>
    </row>
    <row r="116" spans="4:5" x14ac:dyDescent="0.25">
      <c r="D116" s="23"/>
      <c r="E116" s="8"/>
    </row>
    <row r="117" spans="4:5" x14ac:dyDescent="0.25">
      <c r="D117" s="23"/>
      <c r="E117" s="8"/>
    </row>
    <row r="118" spans="4:5" x14ac:dyDescent="0.25">
      <c r="D118" s="23"/>
      <c r="E118" s="8"/>
    </row>
    <row r="119" spans="4:5" x14ac:dyDescent="0.25">
      <c r="D119" s="23"/>
      <c r="E119" s="8"/>
    </row>
    <row r="120" spans="4:5" x14ac:dyDescent="0.25">
      <c r="D120" s="23"/>
      <c r="E120" s="8"/>
    </row>
    <row r="121" spans="4:5" x14ac:dyDescent="0.25">
      <c r="D121" s="23"/>
      <c r="E121" s="8"/>
    </row>
    <row r="122" spans="4:5" x14ac:dyDescent="0.25">
      <c r="D122" s="23"/>
      <c r="E122" s="8"/>
    </row>
    <row r="123" spans="4:5" x14ac:dyDescent="0.25">
      <c r="D123" s="23"/>
      <c r="E123" s="8"/>
    </row>
    <row r="124" spans="4:5" x14ac:dyDescent="0.25">
      <c r="D124" s="23"/>
      <c r="E124" s="8"/>
    </row>
    <row r="125" spans="4:5" x14ac:dyDescent="0.25">
      <c r="D125" s="23"/>
      <c r="E125" s="8"/>
    </row>
    <row r="126" spans="4:5" x14ac:dyDescent="0.25">
      <c r="D126" s="23"/>
      <c r="E126" s="8"/>
    </row>
    <row r="127" spans="4:5" x14ac:dyDescent="0.25">
      <c r="D127" s="23"/>
      <c r="E127" s="8"/>
    </row>
    <row r="128" spans="4:5" x14ac:dyDescent="0.25">
      <c r="D128" s="23"/>
      <c r="E128" s="8"/>
    </row>
    <row r="129" spans="4:5" x14ac:dyDescent="0.25">
      <c r="D129" s="23"/>
      <c r="E129" s="8"/>
    </row>
    <row r="130" spans="4:5" x14ac:dyDescent="0.25">
      <c r="D130" s="23"/>
      <c r="E130" s="8"/>
    </row>
    <row r="131" spans="4:5" x14ac:dyDescent="0.25">
      <c r="D131" s="23"/>
      <c r="E131" s="8"/>
    </row>
    <row r="132" spans="4:5" x14ac:dyDescent="0.25">
      <c r="D132" s="23"/>
      <c r="E132" s="8"/>
    </row>
    <row r="133" spans="4:5" x14ac:dyDescent="0.25">
      <c r="D133" s="23"/>
      <c r="E133" s="8"/>
    </row>
    <row r="134" spans="4:5" x14ac:dyDescent="0.25">
      <c r="D134" s="23"/>
      <c r="E134" s="8"/>
    </row>
    <row r="135" spans="4:5" x14ac:dyDescent="0.25">
      <c r="D135" s="23"/>
      <c r="E135" s="8"/>
    </row>
    <row r="136" spans="4:5" x14ac:dyDescent="0.25">
      <c r="D136" s="23"/>
      <c r="E136" s="8"/>
    </row>
    <row r="137" spans="4:5" x14ac:dyDescent="0.25">
      <c r="D137" s="23"/>
      <c r="E137" s="8"/>
    </row>
    <row r="138" spans="4:5" x14ac:dyDescent="0.25">
      <c r="D138" s="23"/>
      <c r="E138" s="8"/>
    </row>
    <row r="139" spans="4:5" x14ac:dyDescent="0.25">
      <c r="D139" s="23"/>
      <c r="E139" s="8"/>
    </row>
    <row r="140" spans="4:5" x14ac:dyDescent="0.25">
      <c r="D140" s="23"/>
      <c r="E140" s="8"/>
    </row>
    <row r="141" spans="4:5" x14ac:dyDescent="0.25">
      <c r="D141" s="23"/>
      <c r="E141" s="8"/>
    </row>
    <row r="142" spans="4:5" x14ac:dyDescent="0.25">
      <c r="D142" s="23"/>
      <c r="E142" s="8"/>
    </row>
    <row r="143" spans="4:5" x14ac:dyDescent="0.25">
      <c r="D143" s="23"/>
      <c r="E143" s="8"/>
    </row>
    <row r="144" spans="4:5" x14ac:dyDescent="0.25">
      <c r="D144" s="23"/>
      <c r="E144" s="8"/>
    </row>
    <row r="145" spans="4:5" x14ac:dyDescent="0.25">
      <c r="D145" s="23"/>
      <c r="E145" s="8"/>
    </row>
    <row r="146" spans="4:5" x14ac:dyDescent="0.25">
      <c r="D146" s="23"/>
      <c r="E146" s="8"/>
    </row>
    <row r="147" spans="4:5" x14ac:dyDescent="0.25">
      <c r="D147" s="23"/>
      <c r="E147" s="8"/>
    </row>
    <row r="148" spans="4:5" x14ac:dyDescent="0.25">
      <c r="D148" s="23"/>
      <c r="E148" s="8"/>
    </row>
    <row r="149" spans="4:5" x14ac:dyDescent="0.25">
      <c r="D149" s="23"/>
      <c r="E149" s="8"/>
    </row>
    <row r="150" spans="4:5" x14ac:dyDescent="0.25">
      <c r="D150" s="23"/>
      <c r="E150" s="8"/>
    </row>
    <row r="151" spans="4:5" x14ac:dyDescent="0.25">
      <c r="D151" s="23"/>
      <c r="E151" s="8"/>
    </row>
    <row r="152" spans="4:5" x14ac:dyDescent="0.25">
      <c r="D152" s="23"/>
      <c r="E152" s="8"/>
    </row>
    <row r="153" spans="4:5" x14ac:dyDescent="0.25">
      <c r="D153" s="23"/>
      <c r="E153" s="8"/>
    </row>
    <row r="154" spans="4:5" x14ac:dyDescent="0.25">
      <c r="D154" s="23"/>
      <c r="E154" s="8"/>
    </row>
    <row r="155" spans="4:5" x14ac:dyDescent="0.25">
      <c r="D155" s="23"/>
      <c r="E155" s="8"/>
    </row>
    <row r="156" spans="4:5" x14ac:dyDescent="0.25">
      <c r="D156" s="23"/>
      <c r="E156" s="8"/>
    </row>
    <row r="157" spans="4:5" x14ac:dyDescent="0.25">
      <c r="D157" s="23"/>
      <c r="E157" s="8"/>
    </row>
    <row r="158" spans="4:5" x14ac:dyDescent="0.25">
      <c r="D158" s="23"/>
      <c r="E158" s="8"/>
    </row>
    <row r="159" spans="4:5" x14ac:dyDescent="0.25">
      <c r="D159" s="23"/>
      <c r="E159" s="8"/>
    </row>
    <row r="160" spans="4:5" x14ac:dyDescent="0.25">
      <c r="D160" s="23"/>
      <c r="E160" s="8"/>
    </row>
    <row r="161" spans="4:5" x14ac:dyDescent="0.25">
      <c r="D161" s="23"/>
      <c r="E161" s="8"/>
    </row>
    <row r="162" spans="4:5" x14ac:dyDescent="0.25">
      <c r="D162" s="23"/>
      <c r="E162" s="8"/>
    </row>
    <row r="163" spans="4:5" x14ac:dyDescent="0.25">
      <c r="D163" s="23"/>
      <c r="E163" s="8"/>
    </row>
    <row r="164" spans="4:5" x14ac:dyDescent="0.25">
      <c r="D164" s="23"/>
      <c r="E164" s="8"/>
    </row>
    <row r="165" spans="4:5" x14ac:dyDescent="0.25">
      <c r="D165" s="23"/>
      <c r="E165" s="8"/>
    </row>
    <row r="166" spans="4:5" x14ac:dyDescent="0.25">
      <c r="D166" s="23"/>
      <c r="E166" s="8"/>
    </row>
    <row r="167" spans="4:5" x14ac:dyDescent="0.25">
      <c r="D167" s="23"/>
      <c r="E167" s="8"/>
    </row>
    <row r="168" spans="4:5" x14ac:dyDescent="0.25">
      <c r="D168" s="23"/>
      <c r="E168" s="8"/>
    </row>
    <row r="169" spans="4:5" x14ac:dyDescent="0.25">
      <c r="D169" s="23"/>
      <c r="E169" s="8"/>
    </row>
    <row r="170" spans="4:5" x14ac:dyDescent="0.25">
      <c r="D170" s="23"/>
      <c r="E170" s="8"/>
    </row>
    <row r="171" spans="4:5" x14ac:dyDescent="0.25">
      <c r="D171" s="23"/>
      <c r="E171" s="8"/>
    </row>
    <row r="172" spans="4:5" x14ac:dyDescent="0.25">
      <c r="D172" s="23"/>
      <c r="E172" s="8"/>
    </row>
    <row r="173" spans="4:5" x14ac:dyDescent="0.25">
      <c r="D173" s="23"/>
      <c r="E173" s="8"/>
    </row>
    <row r="174" spans="4:5" x14ac:dyDescent="0.25">
      <c r="D174" s="23"/>
      <c r="E174" s="8"/>
    </row>
    <row r="175" spans="4:5" x14ac:dyDescent="0.25">
      <c r="D175" s="23"/>
      <c r="E175" s="8"/>
    </row>
    <row r="176" spans="4:5" x14ac:dyDescent="0.25">
      <c r="D176" s="23"/>
      <c r="E176" s="8"/>
    </row>
    <row r="177" spans="4:5" x14ac:dyDescent="0.25">
      <c r="D177" s="23"/>
      <c r="E177" s="8"/>
    </row>
    <row r="178" spans="4:5" x14ac:dyDescent="0.25">
      <c r="D178" s="23"/>
      <c r="E178" s="8"/>
    </row>
    <row r="179" spans="4:5" x14ac:dyDescent="0.25">
      <c r="D179" s="23"/>
      <c r="E179" s="8"/>
    </row>
    <row r="180" spans="4:5" x14ac:dyDescent="0.25">
      <c r="D180" s="23"/>
      <c r="E180" s="8"/>
    </row>
    <row r="181" spans="4:5" x14ac:dyDescent="0.25">
      <c r="D181" s="23"/>
      <c r="E181" s="8"/>
    </row>
    <row r="182" spans="4:5" x14ac:dyDescent="0.25">
      <c r="D182" s="23"/>
      <c r="E182" s="8"/>
    </row>
    <row r="183" spans="4:5" x14ac:dyDescent="0.25">
      <c r="D183" s="23"/>
      <c r="E183" s="8"/>
    </row>
    <row r="184" spans="4:5" x14ac:dyDescent="0.25">
      <c r="D184" s="23"/>
      <c r="E184" s="8"/>
    </row>
    <row r="185" spans="4:5" x14ac:dyDescent="0.25">
      <c r="D185" s="23"/>
      <c r="E185" s="8"/>
    </row>
    <row r="186" spans="4:5" x14ac:dyDescent="0.25">
      <c r="D186" s="23"/>
      <c r="E186" s="8"/>
    </row>
    <row r="187" spans="4:5" x14ac:dyDescent="0.25">
      <c r="D187" s="23"/>
      <c r="E187" s="8"/>
    </row>
    <row r="188" spans="4:5" x14ac:dyDescent="0.25">
      <c r="D188" s="23"/>
      <c r="E188" s="8"/>
    </row>
    <row r="189" spans="4:5" x14ac:dyDescent="0.25">
      <c r="D189" s="23"/>
      <c r="E189" s="8"/>
    </row>
    <row r="190" spans="4:5" x14ac:dyDescent="0.25">
      <c r="D190" s="23"/>
      <c r="E190" s="8"/>
    </row>
    <row r="191" spans="4:5" x14ac:dyDescent="0.25">
      <c r="D191" s="23"/>
      <c r="E191" s="8"/>
    </row>
    <row r="192" spans="4:5" x14ac:dyDescent="0.25">
      <c r="D192" s="23"/>
      <c r="E192" s="8"/>
    </row>
    <row r="193" spans="4:5" x14ac:dyDescent="0.25">
      <c r="D193" s="23"/>
      <c r="E193" s="8"/>
    </row>
    <row r="194" spans="4:5" x14ac:dyDescent="0.25">
      <c r="D194" s="23"/>
      <c r="E194" s="8"/>
    </row>
    <row r="195" spans="4:5" x14ac:dyDescent="0.25">
      <c r="D195" s="23"/>
      <c r="E195" s="8"/>
    </row>
    <row r="196" spans="4:5" x14ac:dyDescent="0.25">
      <c r="D196" s="23"/>
      <c r="E196" s="8"/>
    </row>
    <row r="197" spans="4:5" x14ac:dyDescent="0.25">
      <c r="D197" s="23"/>
      <c r="E197" s="8"/>
    </row>
    <row r="198" spans="4:5" x14ac:dyDescent="0.25">
      <c r="D198" s="23"/>
      <c r="E198" s="8"/>
    </row>
    <row r="199" spans="4:5" x14ac:dyDescent="0.25">
      <c r="D199" s="23"/>
      <c r="E199" s="8"/>
    </row>
    <row r="200" spans="4:5" x14ac:dyDescent="0.25">
      <c r="D200" s="23"/>
      <c r="E200" s="8"/>
    </row>
    <row r="201" spans="4:5" x14ac:dyDescent="0.25">
      <c r="D201" s="23"/>
      <c r="E201" s="8"/>
    </row>
    <row r="202" spans="4:5" x14ac:dyDescent="0.25">
      <c r="D202" s="23"/>
      <c r="E202" s="8"/>
    </row>
    <row r="203" spans="4:5" x14ac:dyDescent="0.25">
      <c r="D203" s="23"/>
      <c r="E203" s="8"/>
    </row>
    <row r="204" spans="4:5" x14ac:dyDescent="0.25">
      <c r="D204" s="23"/>
      <c r="E204" s="8"/>
    </row>
    <row r="205" spans="4:5" x14ac:dyDescent="0.25">
      <c r="D205" s="23"/>
      <c r="E205" s="8"/>
    </row>
    <row r="206" spans="4:5" x14ac:dyDescent="0.25">
      <c r="D206" s="23"/>
      <c r="E206" s="8"/>
    </row>
    <row r="207" spans="4:5" x14ac:dyDescent="0.25">
      <c r="D207" s="23"/>
      <c r="E207" s="8"/>
    </row>
    <row r="208" spans="4:5" x14ac:dyDescent="0.25">
      <c r="D208" s="23"/>
      <c r="E208" s="8"/>
    </row>
    <row r="209" spans="4:5" x14ac:dyDescent="0.25">
      <c r="D209" s="23"/>
      <c r="E209" s="8"/>
    </row>
    <row r="210" spans="4:5" x14ac:dyDescent="0.25">
      <c r="D210" s="23"/>
      <c r="E210" s="8"/>
    </row>
    <row r="211" spans="4:5" x14ac:dyDescent="0.25">
      <c r="D211" s="23"/>
      <c r="E211" s="8"/>
    </row>
    <row r="212" spans="4:5" x14ac:dyDescent="0.25">
      <c r="D212" s="23"/>
      <c r="E212" s="8"/>
    </row>
    <row r="213" spans="4:5" x14ac:dyDescent="0.25">
      <c r="D213" s="23"/>
      <c r="E213" s="8"/>
    </row>
    <row r="214" spans="4:5" x14ac:dyDescent="0.25">
      <c r="D214" s="23"/>
      <c r="E214" s="8"/>
    </row>
    <row r="215" spans="4:5" x14ac:dyDescent="0.25">
      <c r="D215" s="23"/>
      <c r="E215" s="8"/>
    </row>
    <row r="216" spans="4:5" x14ac:dyDescent="0.25">
      <c r="D216" s="23"/>
      <c r="E216" s="8"/>
    </row>
    <row r="217" spans="4:5" x14ac:dyDescent="0.25">
      <c r="D217" s="23"/>
      <c r="E217" s="8"/>
    </row>
    <row r="218" spans="4:5" x14ac:dyDescent="0.25">
      <c r="D218" s="23"/>
      <c r="E218" s="8"/>
    </row>
    <row r="219" spans="4:5" x14ac:dyDescent="0.25">
      <c r="D219" s="23"/>
      <c r="E219" s="8"/>
    </row>
    <row r="220" spans="4:5" x14ac:dyDescent="0.25">
      <c r="D220" s="23"/>
      <c r="E220" s="8"/>
    </row>
    <row r="221" spans="4:5" x14ac:dyDescent="0.25">
      <c r="D221" s="23"/>
      <c r="E221" s="8"/>
    </row>
    <row r="222" spans="4:5" x14ac:dyDescent="0.25">
      <c r="D222" s="23"/>
      <c r="E222" s="8"/>
    </row>
    <row r="223" spans="4:5" x14ac:dyDescent="0.25">
      <c r="D223" s="23"/>
      <c r="E223" s="8"/>
    </row>
    <row r="224" spans="4:5" x14ac:dyDescent="0.25">
      <c r="D224" s="23"/>
      <c r="E224" s="8"/>
    </row>
    <row r="225" spans="4:5" x14ac:dyDescent="0.25">
      <c r="D225" s="23"/>
      <c r="E225" s="8"/>
    </row>
    <row r="226" spans="4:5" x14ac:dyDescent="0.25">
      <c r="D226" s="23"/>
      <c r="E226" s="8"/>
    </row>
    <row r="227" spans="4:5" x14ac:dyDescent="0.25">
      <c r="D227" s="23"/>
      <c r="E227" s="8"/>
    </row>
    <row r="228" spans="4:5" x14ac:dyDescent="0.25">
      <c r="D228" s="23"/>
      <c r="E228" s="8"/>
    </row>
    <row r="229" spans="4:5" x14ac:dyDescent="0.25">
      <c r="D229" s="23"/>
      <c r="E229" s="8"/>
    </row>
    <row r="230" spans="4:5" x14ac:dyDescent="0.25">
      <c r="D230" s="23"/>
      <c r="E230" s="8"/>
    </row>
    <row r="231" spans="4:5" x14ac:dyDescent="0.25">
      <c r="D231" s="23"/>
      <c r="E231" s="8"/>
    </row>
    <row r="232" spans="4:5" x14ac:dyDescent="0.25">
      <c r="D232" s="23"/>
      <c r="E232" s="8"/>
    </row>
    <row r="233" spans="4:5" x14ac:dyDescent="0.25">
      <c r="D233" s="23"/>
      <c r="E233" s="8"/>
    </row>
    <row r="234" spans="4:5" x14ac:dyDescent="0.25">
      <c r="D234" s="23"/>
      <c r="E234" s="8"/>
    </row>
    <row r="235" spans="4:5" x14ac:dyDescent="0.25">
      <c r="D235" s="23"/>
      <c r="E235" s="8"/>
    </row>
    <row r="236" spans="4:5" x14ac:dyDescent="0.25">
      <c r="D236" s="23"/>
      <c r="E236" s="8"/>
    </row>
    <row r="237" spans="4:5" x14ac:dyDescent="0.25">
      <c r="D237" s="23"/>
      <c r="E237" s="8"/>
    </row>
    <row r="238" spans="4:5" x14ac:dyDescent="0.25">
      <c r="D238" s="23"/>
      <c r="E238" s="8"/>
    </row>
    <row r="239" spans="4:5" x14ac:dyDescent="0.25">
      <c r="D239" s="23"/>
      <c r="E239" s="8"/>
    </row>
    <row r="240" spans="4:5" x14ac:dyDescent="0.25">
      <c r="D240" s="23"/>
      <c r="E240" s="8"/>
    </row>
    <row r="241" spans="4:5" x14ac:dyDescent="0.25">
      <c r="D241" s="23"/>
      <c r="E241" s="8"/>
    </row>
    <row r="242" spans="4:5" x14ac:dyDescent="0.25">
      <c r="D242" s="23"/>
      <c r="E242" s="8"/>
    </row>
    <row r="243" spans="4:5" x14ac:dyDescent="0.25">
      <c r="D243" s="23"/>
      <c r="E243" s="8"/>
    </row>
    <row r="244" spans="4:5" x14ac:dyDescent="0.25">
      <c r="D244" s="23"/>
      <c r="E244" s="8"/>
    </row>
    <row r="245" spans="4:5" x14ac:dyDescent="0.25">
      <c r="D245" s="23"/>
      <c r="E245" s="8"/>
    </row>
    <row r="246" spans="4:5" x14ac:dyDescent="0.25">
      <c r="D246" s="23"/>
      <c r="E246" s="8"/>
    </row>
    <row r="247" spans="4:5" x14ac:dyDescent="0.25">
      <c r="D247" s="23"/>
      <c r="E247" s="8"/>
    </row>
    <row r="248" spans="4:5" x14ac:dyDescent="0.25">
      <c r="D248" s="23"/>
      <c r="E248" s="8"/>
    </row>
    <row r="249" spans="4:5" x14ac:dyDescent="0.25">
      <c r="D249" s="23"/>
      <c r="E249" s="8"/>
    </row>
    <row r="250" spans="4:5" x14ac:dyDescent="0.25">
      <c r="D250" s="23"/>
      <c r="E250" s="8"/>
    </row>
    <row r="251" spans="4:5" x14ac:dyDescent="0.25">
      <c r="D251" s="23"/>
      <c r="E251" s="8"/>
    </row>
    <row r="252" spans="4:5" x14ac:dyDescent="0.25">
      <c r="D252" s="23"/>
      <c r="E252" s="8"/>
    </row>
    <row r="253" spans="4:5" x14ac:dyDescent="0.25">
      <c r="D253" s="23"/>
      <c r="E253" s="8"/>
    </row>
    <row r="254" spans="4:5" x14ac:dyDescent="0.25">
      <c r="D254" s="23"/>
      <c r="E254" s="8"/>
    </row>
    <row r="255" spans="4:5" x14ac:dyDescent="0.25">
      <c r="D255" s="23"/>
      <c r="E255" s="8"/>
    </row>
    <row r="256" spans="4:5" x14ac:dyDescent="0.25">
      <c r="D256" s="23"/>
      <c r="E256" s="8"/>
    </row>
    <row r="257" spans="4:5" x14ac:dyDescent="0.25">
      <c r="D257" s="23"/>
      <c r="E257" s="8"/>
    </row>
    <row r="258" spans="4:5" x14ac:dyDescent="0.25">
      <c r="D258" s="23"/>
      <c r="E258" s="8"/>
    </row>
    <row r="259" spans="4:5" x14ac:dyDescent="0.25">
      <c r="D259" s="23"/>
      <c r="E259" s="8"/>
    </row>
    <row r="260" spans="4:5" x14ac:dyDescent="0.25">
      <c r="D260" s="23"/>
      <c r="E260" s="8"/>
    </row>
    <row r="261" spans="4:5" x14ac:dyDescent="0.25">
      <c r="D261" s="23"/>
      <c r="E261" s="8"/>
    </row>
    <row r="262" spans="4:5" x14ac:dyDescent="0.25">
      <c r="D262" s="23"/>
      <c r="E262" s="8"/>
    </row>
    <row r="263" spans="4:5" x14ac:dyDescent="0.25">
      <c r="D263" s="23"/>
      <c r="E263" s="8"/>
    </row>
    <row r="264" spans="4:5" x14ac:dyDescent="0.25">
      <c r="D264" s="23"/>
      <c r="E264" s="8"/>
    </row>
    <row r="265" spans="4:5" x14ac:dyDescent="0.25">
      <c r="D265" s="23"/>
      <c r="E265" s="8"/>
    </row>
    <row r="266" spans="4:5" x14ac:dyDescent="0.25">
      <c r="D266" s="23"/>
      <c r="E266" s="8"/>
    </row>
    <row r="267" spans="4:5" x14ac:dyDescent="0.25">
      <c r="D267" s="23"/>
      <c r="E267" s="8"/>
    </row>
    <row r="268" spans="4:5" x14ac:dyDescent="0.25">
      <c r="D268" s="23"/>
      <c r="E268" s="8"/>
    </row>
    <row r="269" spans="4:5" x14ac:dyDescent="0.25">
      <c r="D269" s="23"/>
      <c r="E269" s="8"/>
    </row>
    <row r="270" spans="4:5" x14ac:dyDescent="0.25">
      <c r="D270" s="23"/>
      <c r="E270" s="8"/>
    </row>
    <row r="271" spans="4:5" x14ac:dyDescent="0.25">
      <c r="D271" s="23"/>
      <c r="E271" s="8"/>
    </row>
    <row r="272" spans="4:5" x14ac:dyDescent="0.25">
      <c r="D272" s="23"/>
      <c r="E272" s="8"/>
    </row>
    <row r="273" spans="4:5" x14ac:dyDescent="0.25">
      <c r="D273" s="23"/>
      <c r="E273" s="8"/>
    </row>
    <row r="274" spans="4:5" x14ac:dyDescent="0.25">
      <c r="D274" s="23"/>
      <c r="E274" s="8"/>
    </row>
    <row r="275" spans="4:5" x14ac:dyDescent="0.25">
      <c r="D275" s="23"/>
      <c r="E275" s="8"/>
    </row>
    <row r="276" spans="4:5" x14ac:dyDescent="0.25">
      <c r="D276" s="23"/>
      <c r="E276" s="8"/>
    </row>
    <row r="277" spans="4:5" x14ac:dyDescent="0.25">
      <c r="D277" s="23"/>
      <c r="E277" s="8"/>
    </row>
    <row r="278" spans="4:5" x14ac:dyDescent="0.25">
      <c r="D278" s="23"/>
      <c r="E278" s="8"/>
    </row>
    <row r="279" spans="4:5" x14ac:dyDescent="0.25">
      <c r="D279" s="23"/>
      <c r="E279" s="8"/>
    </row>
    <row r="280" spans="4:5" x14ac:dyDescent="0.25">
      <c r="D280" s="23"/>
      <c r="E280" s="8"/>
    </row>
    <row r="281" spans="4:5" x14ac:dyDescent="0.25">
      <c r="D281" s="23"/>
      <c r="E281" s="8"/>
    </row>
    <row r="282" spans="4:5" x14ac:dyDescent="0.25">
      <c r="D282" s="23"/>
      <c r="E282" s="8"/>
    </row>
    <row r="283" spans="4:5" x14ac:dyDescent="0.25">
      <c r="D283" s="23"/>
      <c r="E283" s="8"/>
    </row>
    <row r="284" spans="4:5" x14ac:dyDescent="0.25">
      <c r="D284" s="23"/>
      <c r="E284" s="8"/>
    </row>
    <row r="285" spans="4:5" x14ac:dyDescent="0.25">
      <c r="D285" s="23"/>
      <c r="E285" s="8"/>
    </row>
    <row r="286" spans="4:5" x14ac:dyDescent="0.25">
      <c r="D286" s="23"/>
      <c r="E286" s="8"/>
    </row>
    <row r="287" spans="4:5" x14ac:dyDescent="0.25">
      <c r="D287" s="23"/>
      <c r="E287" s="8"/>
    </row>
    <row r="288" spans="4:5" x14ac:dyDescent="0.25">
      <c r="D288" s="23"/>
      <c r="E288" s="8"/>
    </row>
    <row r="289" spans="4:5" x14ac:dyDescent="0.25">
      <c r="D289" s="23"/>
      <c r="E289" s="8"/>
    </row>
    <row r="290" spans="4:5" x14ac:dyDescent="0.25">
      <c r="D290" s="23"/>
      <c r="E290" s="8"/>
    </row>
    <row r="291" spans="4:5" x14ac:dyDescent="0.25">
      <c r="D291" s="23"/>
      <c r="E291" s="8"/>
    </row>
    <row r="292" spans="4:5" x14ac:dyDescent="0.25">
      <c r="D292" s="23"/>
      <c r="E292" s="8"/>
    </row>
    <row r="293" spans="4:5" x14ac:dyDescent="0.25">
      <c r="D293" s="23"/>
      <c r="E293" s="8"/>
    </row>
    <row r="294" spans="4:5" x14ac:dyDescent="0.25">
      <c r="D294" s="23"/>
      <c r="E294" s="8"/>
    </row>
    <row r="295" spans="4:5" x14ac:dyDescent="0.25">
      <c r="D295" s="23"/>
      <c r="E295" s="8"/>
    </row>
    <row r="296" spans="4:5" x14ac:dyDescent="0.25">
      <c r="D296" s="23"/>
      <c r="E296" s="8"/>
    </row>
    <row r="297" spans="4:5" x14ac:dyDescent="0.25">
      <c r="D297" s="23"/>
      <c r="E297" s="8"/>
    </row>
    <row r="298" spans="4:5" x14ac:dyDescent="0.25">
      <c r="D298" s="23"/>
      <c r="E298" s="8"/>
    </row>
    <row r="299" spans="4:5" x14ac:dyDescent="0.25">
      <c r="D299" s="23"/>
      <c r="E299" s="8"/>
    </row>
    <row r="300" spans="4:5" x14ac:dyDescent="0.25">
      <c r="D300" s="23"/>
      <c r="E300" s="8"/>
    </row>
    <row r="301" spans="4:5" x14ac:dyDescent="0.25">
      <c r="D301" s="23"/>
      <c r="E301" s="8"/>
    </row>
    <row r="302" spans="4:5" x14ac:dyDescent="0.25">
      <c r="D302" s="23"/>
      <c r="E302" s="8"/>
    </row>
    <row r="303" spans="4:5" x14ac:dyDescent="0.25">
      <c r="D303" s="23"/>
      <c r="E303" s="8"/>
    </row>
    <row r="304" spans="4:5" x14ac:dyDescent="0.25">
      <c r="D304" s="23"/>
      <c r="E304" s="8"/>
    </row>
    <row r="305" spans="4:5" x14ac:dyDescent="0.25">
      <c r="D305" s="23"/>
      <c r="E305" s="8"/>
    </row>
    <row r="306" spans="4:5" x14ac:dyDescent="0.25">
      <c r="D306" s="23"/>
      <c r="E306" s="8"/>
    </row>
    <row r="307" spans="4:5" x14ac:dyDescent="0.25">
      <c r="D307" s="8"/>
      <c r="E307" s="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LV32a2_MacL_ATan">
                <anchor moveWithCells="1" sizeWithCells="1">
                  <from>
                    <xdr:col>1</xdr:col>
                    <xdr:colOff>523875</xdr:colOff>
                    <xdr:row>15</xdr:row>
                    <xdr:rowOff>114300</xdr:rowOff>
                  </from>
                  <to>
                    <xdr:col>1</xdr:col>
                    <xdr:colOff>3324225</xdr:colOff>
                    <xdr:row>17</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DDCD2-01BA-4F97-B9A6-ACA669165161}">
  <sheetPr codeName="Sheet7"/>
  <dimension ref="A1:L72"/>
  <sheetViews>
    <sheetView zoomScaleNormal="100" workbookViewId="0">
      <selection activeCell="L7" sqref="L7"/>
    </sheetView>
  </sheetViews>
  <sheetFormatPr defaultRowHeight="15" x14ac:dyDescent="0.25"/>
  <cols>
    <col min="2" max="2" width="14.85546875" customWidth="1"/>
    <col min="3" max="3" width="13.7109375" customWidth="1"/>
    <col min="4" max="4" width="16.5703125" customWidth="1"/>
    <col min="5" max="5" width="41" customWidth="1"/>
    <col min="9" max="9" width="14.85546875" customWidth="1"/>
    <col min="10" max="10" width="13.7109375" customWidth="1"/>
    <col min="11" max="11" width="16.5703125" customWidth="1"/>
    <col min="12" max="12" width="41" customWidth="1"/>
  </cols>
  <sheetData>
    <row r="1" spans="1:12" x14ac:dyDescent="0.25">
      <c r="A1" t="s">
        <v>216</v>
      </c>
    </row>
    <row r="2" spans="1:12" x14ac:dyDescent="0.25">
      <c r="A2" t="s">
        <v>229</v>
      </c>
    </row>
    <row r="7" spans="1:12" x14ac:dyDescent="0.25">
      <c r="A7" t="s">
        <v>230</v>
      </c>
    </row>
    <row r="9" spans="1:12" x14ac:dyDescent="0.25">
      <c r="B9" t="s">
        <v>77</v>
      </c>
    </row>
    <row r="10" spans="1:12" x14ac:dyDescent="0.25">
      <c r="B10" t="s">
        <v>237</v>
      </c>
    </row>
    <row r="11" spans="1:12" x14ac:dyDescent="0.25">
      <c r="B11" t="s">
        <v>234</v>
      </c>
    </row>
    <row r="12" spans="1:12" x14ac:dyDescent="0.25">
      <c r="B12" t="s">
        <v>242</v>
      </c>
    </row>
    <row r="13" spans="1:12" ht="58.5" customHeight="1" x14ac:dyDescent="0.25">
      <c r="I13" s="36" t="s">
        <v>238</v>
      </c>
    </row>
    <row r="14" spans="1:12" x14ac:dyDescent="0.25">
      <c r="B14" s="8" t="s">
        <v>233</v>
      </c>
      <c r="C14" s="8" t="s">
        <v>231</v>
      </c>
      <c r="E14" s="8" t="s">
        <v>236</v>
      </c>
      <c r="I14" s="8" t="s">
        <v>233</v>
      </c>
      <c r="J14" s="8" t="s">
        <v>231</v>
      </c>
      <c r="L14" s="8" t="s">
        <v>236</v>
      </c>
    </row>
    <row r="15" spans="1:12" x14ac:dyDescent="0.25">
      <c r="B15" s="13" t="s">
        <v>232</v>
      </c>
      <c r="C15" s="10"/>
      <c r="E15" s="8"/>
      <c r="I15" s="13" t="s">
        <v>232</v>
      </c>
      <c r="J15" s="10">
        <v>16</v>
      </c>
      <c r="L15" s="8">
        <v>1.4921917868955369E-2</v>
      </c>
    </row>
    <row r="16" spans="1:12" x14ac:dyDescent="0.25">
      <c r="B16" s="31" t="s">
        <v>22</v>
      </c>
      <c r="C16" s="10"/>
      <c r="I16" s="31" t="s">
        <v>22</v>
      </c>
      <c r="J16" s="10">
        <v>0</v>
      </c>
    </row>
    <row r="17" spans="2:12" x14ac:dyDescent="0.25">
      <c r="B17" s="31" t="s">
        <v>23</v>
      </c>
      <c r="C17" s="10"/>
      <c r="I17" s="31" t="s">
        <v>23</v>
      </c>
      <c r="J17" s="10">
        <v>1</v>
      </c>
    </row>
    <row r="19" spans="2:12" x14ac:dyDescent="0.25">
      <c r="B19" s="56" t="s">
        <v>235</v>
      </c>
      <c r="C19" s="56"/>
      <c r="I19" s="56" t="s">
        <v>235</v>
      </c>
      <c r="J19" s="56"/>
    </row>
    <row r="20" spans="2:12" ht="39" customHeight="1" x14ac:dyDescent="0.25">
      <c r="B20" s="8"/>
      <c r="C20" s="32"/>
      <c r="D20" s="8"/>
      <c r="E20" s="8"/>
      <c r="I20" s="8"/>
      <c r="J20" s="32">
        <v>6.25E-2</v>
      </c>
      <c r="K20" s="8"/>
      <c r="L20" s="8">
        <v>0.47750137180657182</v>
      </c>
    </row>
    <row r="21" spans="2:12" ht="35.25" customHeight="1" x14ac:dyDescent="0.25">
      <c r="B21" s="32"/>
      <c r="C21" s="8"/>
      <c r="D21" s="8"/>
      <c r="E21" s="8"/>
      <c r="I21" s="32"/>
      <c r="J21" s="8"/>
      <c r="K21" s="8"/>
      <c r="L21" s="8">
        <v>1.4921917868955369E-2</v>
      </c>
    </row>
    <row r="22" spans="2:12" x14ac:dyDescent="0.25">
      <c r="B22" s="8"/>
      <c r="C22" s="8"/>
      <c r="I22" s="8">
        <v>0</v>
      </c>
      <c r="J22" s="8">
        <v>0</v>
      </c>
    </row>
    <row r="23" spans="2:12" x14ac:dyDescent="0.25">
      <c r="B23" s="8"/>
      <c r="C23" s="8"/>
      <c r="I23" s="8">
        <v>1</v>
      </c>
      <c r="J23" s="8">
        <v>5.9192729787154016E-4</v>
      </c>
    </row>
    <row r="24" spans="2:12" x14ac:dyDescent="0.25">
      <c r="B24" s="8"/>
      <c r="C24" s="8"/>
      <c r="I24" s="8">
        <v>2</v>
      </c>
      <c r="J24" s="8">
        <v>2.2450770126407125E-3</v>
      </c>
    </row>
    <row r="25" spans="2:12" x14ac:dyDescent="0.25">
      <c r="B25" s="8"/>
      <c r="C25" s="8"/>
      <c r="I25" s="8">
        <v>3</v>
      </c>
      <c r="J25" s="8">
        <v>4.7949391142113953E-3</v>
      </c>
    </row>
    <row r="26" spans="2:12" x14ac:dyDescent="0.25">
      <c r="B26" s="8"/>
      <c r="C26" s="8"/>
      <c r="I26" s="8">
        <v>4</v>
      </c>
      <c r="J26" s="8">
        <v>8.0993976153022965E-3</v>
      </c>
    </row>
    <row r="27" spans="2:12" x14ac:dyDescent="0.25">
      <c r="B27" s="8"/>
      <c r="C27" s="8"/>
      <c r="I27" s="8">
        <v>5</v>
      </c>
      <c r="J27" s="8">
        <v>1.2035049553522926E-2</v>
      </c>
    </row>
    <row r="28" spans="2:12" x14ac:dyDescent="0.25">
      <c r="B28" s="8"/>
      <c r="C28" s="8"/>
      <c r="I28" s="8">
        <v>6</v>
      </c>
      <c r="J28" s="8">
        <v>1.649422647521771E-2</v>
      </c>
    </row>
    <row r="29" spans="2:12" x14ac:dyDescent="0.25">
      <c r="B29" s="8"/>
      <c r="C29" s="8"/>
      <c r="I29" s="8">
        <v>7</v>
      </c>
      <c r="J29" s="8">
        <v>2.1382566829907277E-2</v>
      </c>
    </row>
    <row r="30" spans="2:12" x14ac:dyDescent="0.25">
      <c r="B30" s="8"/>
      <c r="C30" s="8"/>
      <c r="I30" s="8">
        <v>8</v>
      </c>
      <c r="J30" s="8">
        <v>2.6617023950696969E-2</v>
      </c>
    </row>
    <row r="31" spans="2:12" x14ac:dyDescent="0.25">
      <c r="B31" s="8"/>
      <c r="C31" s="8"/>
      <c r="I31" s="8">
        <v>9</v>
      </c>
      <c r="J31" s="8">
        <v>3.2124221085064207E-2</v>
      </c>
    </row>
    <row r="32" spans="2:12" x14ac:dyDescent="0.25">
      <c r="B32" s="8"/>
      <c r="C32" s="8"/>
      <c r="I32" s="8">
        <v>10</v>
      </c>
      <c r="J32" s="8">
        <v>3.7839084926266101E-2</v>
      </c>
    </row>
    <row r="33" spans="1:12" x14ac:dyDescent="0.25">
      <c r="B33" s="8"/>
      <c r="C33" s="8"/>
      <c r="I33" s="8">
        <v>11</v>
      </c>
      <c r="J33" s="8">
        <v>4.3703704145222753E-2</v>
      </c>
    </row>
    <row r="34" spans="1:12" x14ac:dyDescent="0.25">
      <c r="B34" s="8"/>
      <c r="C34" s="8"/>
      <c r="I34" s="8">
        <v>12</v>
      </c>
      <c r="J34" s="8">
        <v>4.9666370854586535E-2</v>
      </c>
    </row>
    <row r="35" spans="1:12" x14ac:dyDescent="0.25">
      <c r="B35" s="8"/>
      <c r="C35" s="8"/>
      <c r="I35" s="8">
        <v>13</v>
      </c>
      <c r="J35" s="8">
        <v>5.5680771691964302E-2</v>
      </c>
    </row>
    <row r="36" spans="1:12" x14ac:dyDescent="0.25">
      <c r="B36" s="8"/>
      <c r="C36" s="8"/>
      <c r="I36" s="8">
        <v>14</v>
      </c>
      <c r="J36" s="8">
        <v>6.1705301966579168E-2</v>
      </c>
    </row>
    <row r="37" spans="1:12" x14ac:dyDescent="0.25">
      <c r="B37" s="8"/>
      <c r="C37" s="8"/>
      <c r="I37" s="8">
        <v>15</v>
      </c>
      <c r="J37" s="8">
        <v>6.7702481567099626E-2</v>
      </c>
    </row>
    <row r="38" spans="1:12" x14ac:dyDescent="0.25">
      <c r="B38" s="30"/>
      <c r="C38" s="8"/>
      <c r="I38" s="30">
        <v>16</v>
      </c>
      <c r="J38" s="8">
        <v>3.6819227720418304E-2</v>
      </c>
    </row>
    <row r="39" spans="1:12" x14ac:dyDescent="0.25">
      <c r="B39" s="8"/>
      <c r="C39" s="8"/>
      <c r="I39" s="8"/>
      <c r="J39" s="8"/>
    </row>
    <row r="40" spans="1:12" x14ac:dyDescent="0.25">
      <c r="B40" s="8"/>
      <c r="C40" s="8"/>
      <c r="I40" s="8"/>
      <c r="J40" s="8"/>
    </row>
    <row r="41" spans="1:12" x14ac:dyDescent="0.25">
      <c r="B41" s="8"/>
      <c r="C41" s="8"/>
      <c r="I41" s="8"/>
      <c r="J41" s="8"/>
    </row>
    <row r="42" spans="1:12" x14ac:dyDescent="0.25">
      <c r="B42" s="8"/>
      <c r="C42" s="8"/>
      <c r="I42" s="8"/>
      <c r="J42" s="8"/>
    </row>
    <row r="43" spans="1:12" x14ac:dyDescent="0.25">
      <c r="B43" s="8"/>
      <c r="C43" s="8"/>
      <c r="I43" s="8"/>
      <c r="J43" s="8"/>
    </row>
    <row r="44" spans="1:12" x14ac:dyDescent="0.25">
      <c r="B44" s="8"/>
      <c r="C44" s="8"/>
      <c r="I44" s="8"/>
      <c r="J44" s="8"/>
    </row>
    <row r="45" spans="1:12" x14ac:dyDescent="0.25">
      <c r="B45" s="8"/>
      <c r="C45" s="8"/>
      <c r="I45" s="8"/>
      <c r="J45" s="8"/>
    </row>
    <row r="46" spans="1:12" x14ac:dyDescent="0.25">
      <c r="A46" s="28"/>
      <c r="B46" s="29"/>
      <c r="C46" s="29"/>
      <c r="D46" s="28"/>
      <c r="E46" s="28"/>
      <c r="F46" s="28"/>
      <c r="I46" s="29"/>
      <c r="J46" s="29"/>
      <c r="K46" s="28"/>
      <c r="L46" s="28"/>
    </row>
    <row r="47" spans="1:12" x14ac:dyDescent="0.25">
      <c r="A47" s="28"/>
      <c r="B47" s="29"/>
      <c r="C47" s="29"/>
      <c r="D47" s="28"/>
      <c r="E47" s="28"/>
      <c r="F47" s="28"/>
      <c r="H47" s="28"/>
      <c r="I47" s="29"/>
      <c r="J47" s="29"/>
      <c r="K47" s="28"/>
      <c r="L47" s="28"/>
    </row>
    <row r="48" spans="1:12" x14ac:dyDescent="0.25">
      <c r="A48" s="28"/>
      <c r="B48" s="31"/>
      <c r="C48" s="29"/>
      <c r="D48" s="28"/>
      <c r="E48" s="28"/>
      <c r="F48" s="28"/>
      <c r="H48" s="28"/>
      <c r="I48" s="31"/>
      <c r="J48" s="29"/>
      <c r="K48" s="28"/>
      <c r="L48" s="28"/>
    </row>
    <row r="49" spans="1:12" x14ac:dyDescent="0.25">
      <c r="A49" s="28"/>
      <c r="B49" s="31"/>
      <c r="C49" s="29"/>
      <c r="D49" s="28"/>
      <c r="E49" s="28"/>
      <c r="F49" s="28"/>
      <c r="H49" s="28"/>
      <c r="I49" s="31"/>
      <c r="J49" s="29"/>
      <c r="K49" s="28"/>
      <c r="L49" s="28"/>
    </row>
    <row r="50" spans="1:12" x14ac:dyDescent="0.25">
      <c r="A50" s="28"/>
      <c r="B50" s="31"/>
      <c r="C50" s="29"/>
      <c r="D50" s="28"/>
      <c r="E50" s="28"/>
      <c r="F50" s="28"/>
      <c r="H50" s="28"/>
      <c r="I50" s="31"/>
      <c r="J50" s="29"/>
      <c r="K50" s="28"/>
      <c r="L50" s="28"/>
    </row>
    <row r="51" spans="1:12" x14ac:dyDescent="0.25">
      <c r="A51" s="28"/>
      <c r="B51" s="29"/>
      <c r="C51" s="29"/>
      <c r="D51" s="28"/>
      <c r="E51" s="28"/>
      <c r="F51" s="28"/>
      <c r="H51" s="28"/>
      <c r="I51" s="29"/>
      <c r="J51" s="29"/>
      <c r="K51" s="28"/>
      <c r="L51" s="28"/>
    </row>
    <row r="52" spans="1:12" x14ac:dyDescent="0.25">
      <c r="A52" s="28"/>
      <c r="B52" s="37"/>
      <c r="C52" s="37"/>
      <c r="D52" s="28"/>
      <c r="E52" s="28"/>
      <c r="F52" s="28"/>
      <c r="H52" s="28"/>
      <c r="I52" s="37"/>
      <c r="J52" s="37"/>
      <c r="K52" s="28"/>
      <c r="L52" s="28"/>
    </row>
    <row r="53" spans="1:12" x14ac:dyDescent="0.25">
      <c r="A53" s="28"/>
      <c r="B53" s="29"/>
      <c r="C53" s="29"/>
      <c r="D53" s="28"/>
      <c r="E53" s="28"/>
      <c r="F53" s="28"/>
      <c r="H53" s="28"/>
      <c r="I53" s="29"/>
      <c r="J53" s="29"/>
      <c r="K53" s="28"/>
      <c r="L53" s="28"/>
    </row>
    <row r="54" spans="1:12" x14ac:dyDescent="0.25">
      <c r="A54" s="28"/>
      <c r="B54" s="33"/>
      <c r="C54" s="29"/>
      <c r="D54" s="28"/>
      <c r="E54" s="28"/>
      <c r="F54" s="28"/>
      <c r="H54" s="28"/>
      <c r="I54" s="33"/>
      <c r="J54" s="29"/>
      <c r="K54" s="28"/>
      <c r="L54" s="28"/>
    </row>
    <row r="55" spans="1:12" x14ac:dyDescent="0.25">
      <c r="A55" s="28"/>
      <c r="B55" s="29"/>
      <c r="C55" s="29"/>
      <c r="D55" s="28"/>
      <c r="E55" s="28"/>
      <c r="F55" s="28"/>
      <c r="H55" s="28"/>
      <c r="I55" s="29"/>
      <c r="J55" s="29"/>
      <c r="K55" s="28"/>
      <c r="L55" s="28"/>
    </row>
    <row r="56" spans="1:12" x14ac:dyDescent="0.25">
      <c r="A56" s="28"/>
      <c r="B56" s="29"/>
      <c r="C56" s="29"/>
      <c r="D56" s="28"/>
      <c r="E56" s="28"/>
      <c r="F56" s="28"/>
      <c r="H56" s="28"/>
      <c r="I56" s="29"/>
      <c r="J56" s="29"/>
      <c r="K56" s="28"/>
      <c r="L56" s="28"/>
    </row>
    <row r="57" spans="1:12" x14ac:dyDescent="0.25">
      <c r="A57" s="28"/>
      <c r="B57" s="29"/>
      <c r="C57" s="29"/>
      <c r="D57" s="28"/>
      <c r="E57" s="28"/>
      <c r="F57" s="28"/>
      <c r="H57" s="28"/>
      <c r="I57" s="29"/>
      <c r="J57" s="29"/>
      <c r="K57" s="28"/>
      <c r="L57" s="28"/>
    </row>
    <row r="58" spans="1:12" x14ac:dyDescent="0.25">
      <c r="A58" s="28"/>
      <c r="B58" s="29"/>
      <c r="C58" s="29"/>
      <c r="D58" s="28"/>
      <c r="E58" s="28"/>
      <c r="F58" s="28"/>
      <c r="H58" s="28"/>
      <c r="I58" s="29"/>
      <c r="J58" s="29"/>
      <c r="K58" s="28"/>
      <c r="L58" s="28"/>
    </row>
    <row r="59" spans="1:12" x14ac:dyDescent="0.25">
      <c r="A59" s="28"/>
      <c r="B59" s="29"/>
      <c r="C59" s="29"/>
      <c r="D59" s="28"/>
      <c r="E59" s="28"/>
      <c r="F59" s="28"/>
      <c r="H59" s="28"/>
      <c r="I59" s="29"/>
      <c r="J59" s="29"/>
      <c r="K59" s="28"/>
      <c r="L59" s="28"/>
    </row>
    <row r="60" spans="1:12" x14ac:dyDescent="0.25">
      <c r="A60" s="28"/>
      <c r="B60" s="28"/>
      <c r="C60" s="28"/>
      <c r="D60" s="28"/>
      <c r="E60" s="28"/>
      <c r="F60" s="28"/>
      <c r="H60" s="28"/>
      <c r="I60" s="28"/>
      <c r="J60" s="28"/>
      <c r="K60" s="28"/>
      <c r="L60" s="28"/>
    </row>
    <row r="61" spans="1:12" x14ac:dyDescent="0.25">
      <c r="A61" s="28"/>
      <c r="B61" s="28"/>
      <c r="C61" s="28"/>
      <c r="D61" s="28"/>
      <c r="E61" s="28"/>
      <c r="F61" s="28"/>
      <c r="H61" s="28"/>
      <c r="I61" s="28"/>
      <c r="J61" s="28"/>
      <c r="K61" s="28"/>
      <c r="L61" s="28"/>
    </row>
    <row r="62" spans="1:12" x14ac:dyDescent="0.25">
      <c r="A62" s="28"/>
      <c r="B62" s="28"/>
      <c r="C62" s="28"/>
      <c r="D62" s="28"/>
      <c r="E62" s="28"/>
      <c r="F62" s="28"/>
      <c r="H62" s="28"/>
      <c r="I62" s="28"/>
      <c r="J62" s="28"/>
      <c r="K62" s="28"/>
      <c r="L62" s="28"/>
    </row>
    <row r="63" spans="1:12" x14ac:dyDescent="0.25">
      <c r="A63" s="28"/>
      <c r="B63" s="28"/>
      <c r="C63" s="28"/>
      <c r="D63" s="28"/>
      <c r="E63" s="28"/>
      <c r="F63" s="28"/>
      <c r="H63" s="28"/>
      <c r="I63" s="28"/>
      <c r="J63" s="28"/>
      <c r="K63" s="28"/>
      <c r="L63" s="28"/>
    </row>
    <row r="64" spans="1:12" x14ac:dyDescent="0.25">
      <c r="A64" s="28"/>
      <c r="B64" s="28"/>
      <c r="C64" s="28"/>
      <c r="D64" s="28"/>
      <c r="E64" s="28"/>
      <c r="F64" s="28"/>
      <c r="H64" s="28"/>
      <c r="I64" s="28"/>
      <c r="J64" s="28"/>
      <c r="K64" s="28"/>
      <c r="L64" s="28"/>
    </row>
    <row r="65" spans="1:12" x14ac:dyDescent="0.25">
      <c r="A65" s="28"/>
      <c r="B65" s="28"/>
      <c r="C65" s="28"/>
      <c r="D65" s="28"/>
      <c r="E65" s="28"/>
      <c r="F65" s="28"/>
      <c r="H65" s="28"/>
      <c r="I65" s="28"/>
      <c r="J65" s="28"/>
      <c r="K65" s="28"/>
      <c r="L65" s="28"/>
    </row>
    <row r="66" spans="1:12" x14ac:dyDescent="0.25">
      <c r="A66" s="28"/>
      <c r="B66" s="28"/>
      <c r="C66" s="28"/>
      <c r="D66" s="28"/>
      <c r="E66" s="28"/>
      <c r="F66" s="28"/>
      <c r="H66" s="28"/>
      <c r="I66" s="28"/>
      <c r="J66" s="28"/>
      <c r="K66" s="28"/>
      <c r="L66" s="28"/>
    </row>
    <row r="67" spans="1:12" x14ac:dyDescent="0.25">
      <c r="A67" s="28"/>
      <c r="B67" s="28"/>
      <c r="C67" s="28"/>
      <c r="D67" s="28"/>
      <c r="E67" s="28"/>
      <c r="F67" s="28"/>
      <c r="H67" s="28"/>
      <c r="I67" s="28"/>
      <c r="J67" s="28"/>
      <c r="K67" s="28"/>
      <c r="L67" s="28"/>
    </row>
    <row r="68" spans="1:12" x14ac:dyDescent="0.25">
      <c r="A68" s="28"/>
      <c r="B68" s="28"/>
      <c r="C68" s="28"/>
      <c r="D68" s="28"/>
      <c r="E68" s="28"/>
      <c r="F68" s="28"/>
      <c r="H68" s="28"/>
      <c r="I68" s="28"/>
      <c r="J68" s="28"/>
      <c r="K68" s="28"/>
      <c r="L68" s="28"/>
    </row>
    <row r="69" spans="1:12" x14ac:dyDescent="0.25">
      <c r="A69" s="28"/>
      <c r="B69" s="28"/>
      <c r="C69" s="28"/>
      <c r="D69" s="28"/>
      <c r="E69" s="28"/>
      <c r="F69" s="28"/>
      <c r="H69" s="28"/>
      <c r="I69" s="28"/>
      <c r="J69" s="28"/>
      <c r="K69" s="28"/>
      <c r="L69" s="28"/>
    </row>
    <row r="70" spans="1:12" x14ac:dyDescent="0.25">
      <c r="A70" s="28"/>
      <c r="B70" s="28"/>
      <c r="C70" s="28"/>
      <c r="D70" s="28"/>
      <c r="E70" s="28"/>
      <c r="F70" s="28"/>
      <c r="H70" s="28"/>
      <c r="I70" s="28"/>
      <c r="J70" s="28"/>
      <c r="K70" s="28"/>
      <c r="L70" s="28"/>
    </row>
    <row r="71" spans="1:12" x14ac:dyDescent="0.25">
      <c r="A71" s="28"/>
      <c r="B71" s="35"/>
      <c r="C71" s="28"/>
      <c r="D71" s="28"/>
      <c r="E71" s="28"/>
      <c r="F71" s="28"/>
      <c r="H71" s="28"/>
      <c r="I71" s="35"/>
      <c r="J71" s="28"/>
      <c r="K71" s="28"/>
      <c r="L71" s="28"/>
    </row>
    <row r="72" spans="1:12" x14ac:dyDescent="0.25">
      <c r="A72" s="28"/>
      <c r="B72" s="28"/>
      <c r="C72" s="28"/>
      <c r="D72" s="28"/>
      <c r="E72" s="28"/>
      <c r="F72" s="28"/>
      <c r="H72" s="28"/>
      <c r="I72" s="28"/>
      <c r="J72" s="28"/>
      <c r="K72" s="28"/>
      <c r="L72" s="28"/>
    </row>
  </sheetData>
  <mergeCells count="2">
    <mergeCell ref="B19:C19"/>
    <mergeCell ref="I19:J1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Exercise_5_14">
                <anchor moveWithCells="1" sizeWithCells="1">
                  <from>
                    <xdr:col>1</xdr:col>
                    <xdr:colOff>552450</xdr:colOff>
                    <xdr:row>12</xdr:row>
                    <xdr:rowOff>133350</xdr:rowOff>
                  </from>
                  <to>
                    <xdr:col>4</xdr:col>
                    <xdr:colOff>1485900</xdr:colOff>
                    <xdr:row>12</xdr:row>
                    <xdr:rowOff>600075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EA630-A20C-4E29-B29E-6BCED35ACDA6}">
  <sheetPr codeName="Sheet9"/>
  <dimension ref="A1:K72"/>
  <sheetViews>
    <sheetView topLeftCell="A7" workbookViewId="0">
      <selection activeCell="E26" sqref="E26"/>
    </sheetView>
  </sheetViews>
  <sheetFormatPr defaultRowHeight="15" x14ac:dyDescent="0.25"/>
  <cols>
    <col min="2" max="2" width="14.85546875" customWidth="1"/>
    <col min="3" max="3" width="13.7109375" customWidth="1"/>
    <col min="4" max="4" width="16.5703125" customWidth="1"/>
    <col min="5" max="5" width="41" customWidth="1"/>
    <col min="8" max="8" width="14.85546875" customWidth="1"/>
    <col min="9" max="9" width="13.7109375" customWidth="1"/>
    <col min="10" max="10" width="16.5703125" customWidth="1"/>
    <col min="11" max="11" width="41" customWidth="1"/>
  </cols>
  <sheetData>
    <row r="1" spans="1:11" x14ac:dyDescent="0.25">
      <c r="A1" t="s">
        <v>217</v>
      </c>
    </row>
    <row r="2" spans="1:11" x14ac:dyDescent="0.25">
      <c r="A2" t="s">
        <v>239</v>
      </c>
    </row>
    <row r="7" spans="1:11" x14ac:dyDescent="0.25">
      <c r="A7" t="s">
        <v>240</v>
      </c>
    </row>
    <row r="9" spans="1:11" x14ac:dyDescent="0.25">
      <c r="B9" t="s">
        <v>77</v>
      </c>
    </row>
    <row r="10" spans="1:11" x14ac:dyDescent="0.25">
      <c r="B10" t="s">
        <v>237</v>
      </c>
    </row>
    <row r="11" spans="1:11" x14ac:dyDescent="0.25">
      <c r="B11" t="s">
        <v>234</v>
      </c>
    </row>
    <row r="12" spans="1:11" x14ac:dyDescent="0.25">
      <c r="B12" t="s">
        <v>241</v>
      </c>
    </row>
    <row r="13" spans="1:11" ht="65.25" customHeight="1" x14ac:dyDescent="0.25">
      <c r="H13" s="36" t="s">
        <v>238</v>
      </c>
    </row>
    <row r="14" spans="1:11" x14ac:dyDescent="0.25">
      <c r="B14" s="8" t="s">
        <v>233</v>
      </c>
      <c r="C14" s="8" t="s">
        <v>231</v>
      </c>
      <c r="E14" s="8" t="s">
        <v>236</v>
      </c>
      <c r="H14" s="8" t="s">
        <v>233</v>
      </c>
      <c r="I14" s="8" t="s">
        <v>231</v>
      </c>
      <c r="K14" s="8" t="s">
        <v>236</v>
      </c>
    </row>
    <row r="15" spans="1:11" x14ac:dyDescent="0.25">
      <c r="B15" s="13" t="s">
        <v>232</v>
      </c>
      <c r="C15" s="10">
        <v>16</v>
      </c>
      <c r="E15" s="8"/>
      <c r="H15" s="13" t="s">
        <v>232</v>
      </c>
      <c r="I15" s="10">
        <v>16</v>
      </c>
      <c r="K15" s="8">
        <v>1.490660485607158E-2</v>
      </c>
    </row>
    <row r="16" spans="1:11" x14ac:dyDescent="0.25">
      <c r="B16" s="31" t="s">
        <v>22</v>
      </c>
      <c r="C16" s="10">
        <v>0</v>
      </c>
      <c r="H16" s="31" t="s">
        <v>22</v>
      </c>
      <c r="I16" s="10">
        <v>0</v>
      </c>
    </row>
    <row r="17" spans="2:11" x14ac:dyDescent="0.25">
      <c r="B17" s="31" t="s">
        <v>23</v>
      </c>
      <c r="C17" s="10">
        <v>1</v>
      </c>
      <c r="H17" s="31" t="s">
        <v>23</v>
      </c>
      <c r="I17" s="10">
        <v>1</v>
      </c>
    </row>
    <row r="19" spans="2:11" x14ac:dyDescent="0.25">
      <c r="B19" s="56" t="s">
        <v>235</v>
      </c>
      <c r="C19" s="56"/>
      <c r="H19" s="56" t="s">
        <v>235</v>
      </c>
      <c r="I19" s="56"/>
    </row>
    <row r="20" spans="2:11" ht="38.25" customHeight="1" x14ac:dyDescent="0.25">
      <c r="B20" s="8"/>
      <c r="C20" s="32">
        <v>6.25E-2</v>
      </c>
      <c r="D20" s="8"/>
      <c r="E20" s="8"/>
      <c r="H20" s="8"/>
      <c r="I20" s="32">
        <v>6.25E-2</v>
      </c>
      <c r="J20" s="8"/>
      <c r="K20" s="8">
        <v>0.71551703309143588</v>
      </c>
    </row>
    <row r="21" spans="2:11" ht="34.5" customHeight="1" x14ac:dyDescent="0.25">
      <c r="B21" s="32"/>
      <c r="C21" s="8"/>
      <c r="D21" s="8"/>
      <c r="E21" s="8"/>
      <c r="H21" s="32"/>
      <c r="I21" s="8"/>
      <c r="J21" s="8"/>
      <c r="K21" s="8">
        <v>1.490660485607158E-2</v>
      </c>
    </row>
    <row r="22" spans="2:11" x14ac:dyDescent="0.25">
      <c r="B22" s="8"/>
      <c r="C22" s="8"/>
      <c r="H22" s="8">
        <v>0</v>
      </c>
      <c r="I22" s="8">
        <v>0</v>
      </c>
    </row>
    <row r="23" spans="2:11" x14ac:dyDescent="0.25">
      <c r="B23" s="8"/>
      <c r="C23" s="8"/>
      <c r="H23" s="8">
        <v>1</v>
      </c>
      <c r="I23" s="8">
        <v>1.1838545957430803E-3</v>
      </c>
    </row>
    <row r="24" spans="2:11" x14ac:dyDescent="0.25">
      <c r="B24" s="8"/>
      <c r="C24" s="8"/>
      <c r="H24" s="8">
        <v>2</v>
      </c>
      <c r="I24" s="8">
        <v>2.2450770126407125E-3</v>
      </c>
    </row>
    <row r="25" spans="2:11" x14ac:dyDescent="0.25">
      <c r="B25" s="8"/>
      <c r="C25" s="8"/>
      <c r="H25" s="8">
        <v>3</v>
      </c>
      <c r="I25" s="8">
        <v>9.5898782284227907E-3</v>
      </c>
    </row>
    <row r="26" spans="2:11" x14ac:dyDescent="0.25">
      <c r="B26" s="8"/>
      <c r="C26" s="8"/>
      <c r="H26" s="8">
        <v>4</v>
      </c>
      <c r="I26" s="8">
        <v>8.0993976153022965E-3</v>
      </c>
    </row>
    <row r="27" spans="2:11" x14ac:dyDescent="0.25">
      <c r="B27" s="8"/>
      <c r="C27" s="8"/>
      <c r="H27" s="8">
        <v>5</v>
      </c>
      <c r="I27" s="8">
        <v>2.4070099107045852E-2</v>
      </c>
    </row>
    <row r="28" spans="2:11" x14ac:dyDescent="0.25">
      <c r="B28" s="8"/>
      <c r="C28" s="8"/>
      <c r="H28" s="8">
        <v>6</v>
      </c>
      <c r="I28" s="8">
        <v>1.649422647521771E-2</v>
      </c>
    </row>
    <row r="29" spans="2:11" x14ac:dyDescent="0.25">
      <c r="B29" s="8"/>
      <c r="C29" s="8"/>
      <c r="H29" s="8">
        <v>7</v>
      </c>
      <c r="I29" s="8">
        <v>4.2765133659814554E-2</v>
      </c>
    </row>
    <row r="30" spans="2:11" x14ac:dyDescent="0.25">
      <c r="B30" s="8"/>
      <c r="C30" s="8"/>
      <c r="H30" s="8">
        <v>8</v>
      </c>
      <c r="I30" s="8">
        <v>2.6617023950696969E-2</v>
      </c>
    </row>
    <row r="31" spans="2:11" x14ac:dyDescent="0.25">
      <c r="B31" s="8"/>
      <c r="C31" s="8"/>
      <c r="H31" s="8">
        <v>9</v>
      </c>
      <c r="I31" s="8">
        <v>6.4248442170128414E-2</v>
      </c>
    </row>
    <row r="32" spans="2:11" x14ac:dyDescent="0.25">
      <c r="B32" s="8"/>
      <c r="C32" s="8"/>
      <c r="H32" s="8">
        <v>10</v>
      </c>
      <c r="I32" s="8">
        <v>3.7839084926266101E-2</v>
      </c>
    </row>
    <row r="33" spans="1:11" x14ac:dyDescent="0.25">
      <c r="B33" s="8"/>
      <c r="C33" s="8"/>
      <c r="H33" s="8">
        <v>11</v>
      </c>
      <c r="I33" s="8">
        <v>8.7407408290445507E-2</v>
      </c>
    </row>
    <row r="34" spans="1:11" x14ac:dyDescent="0.25">
      <c r="B34" s="8"/>
      <c r="C34" s="8"/>
      <c r="H34" s="8">
        <v>12</v>
      </c>
      <c r="I34" s="8">
        <v>4.9666370854586535E-2</v>
      </c>
    </row>
    <row r="35" spans="1:11" x14ac:dyDescent="0.25">
      <c r="B35" s="8"/>
      <c r="C35" s="8"/>
      <c r="H35" s="8">
        <v>13</v>
      </c>
      <c r="I35" s="8">
        <v>0.1113615433839286</v>
      </c>
    </row>
    <row r="36" spans="1:11" x14ac:dyDescent="0.25">
      <c r="B36" s="8"/>
      <c r="C36" s="8"/>
      <c r="H36" s="8">
        <v>14</v>
      </c>
      <c r="I36" s="8">
        <v>6.1705301966579168E-2</v>
      </c>
    </row>
    <row r="37" spans="1:11" x14ac:dyDescent="0.25">
      <c r="B37" s="8"/>
      <c r="C37" s="8"/>
      <c r="H37" s="8">
        <v>15</v>
      </c>
      <c r="I37" s="8">
        <v>0.13540496313419925</v>
      </c>
    </row>
    <row r="38" spans="1:11" x14ac:dyDescent="0.25">
      <c r="B38" s="30"/>
      <c r="C38" s="8"/>
      <c r="H38" s="30">
        <v>16</v>
      </c>
      <c r="I38" s="8">
        <v>3.6819227720418304E-2</v>
      </c>
    </row>
    <row r="39" spans="1:11" x14ac:dyDescent="0.25">
      <c r="B39" s="8"/>
      <c r="C39" s="8"/>
      <c r="H39" s="8"/>
      <c r="I39" s="8"/>
    </row>
    <row r="40" spans="1:11" x14ac:dyDescent="0.25">
      <c r="B40" s="8"/>
      <c r="C40" s="8"/>
      <c r="H40" s="8"/>
      <c r="I40" s="8"/>
    </row>
    <row r="41" spans="1:11" x14ac:dyDescent="0.25">
      <c r="B41" s="8"/>
      <c r="C41" s="8"/>
      <c r="H41" s="8"/>
      <c r="I41" s="8"/>
    </row>
    <row r="42" spans="1:11" x14ac:dyDescent="0.25">
      <c r="B42" s="8"/>
      <c r="C42" s="8"/>
      <c r="H42" s="8"/>
      <c r="I42" s="8"/>
    </row>
    <row r="43" spans="1:11" x14ac:dyDescent="0.25">
      <c r="B43" s="8"/>
      <c r="C43" s="8"/>
      <c r="H43" s="8"/>
      <c r="I43" s="8"/>
    </row>
    <row r="44" spans="1:11" x14ac:dyDescent="0.25">
      <c r="B44" s="8"/>
      <c r="C44" s="8"/>
      <c r="H44" s="8"/>
      <c r="I44" s="8"/>
    </row>
    <row r="45" spans="1:11" x14ac:dyDescent="0.25">
      <c r="B45" s="8"/>
      <c r="C45" s="8"/>
      <c r="H45" s="8"/>
      <c r="I45" s="8"/>
    </row>
    <row r="46" spans="1:11" x14ac:dyDescent="0.25">
      <c r="A46" s="28"/>
      <c r="B46" s="29"/>
      <c r="C46" s="29"/>
      <c r="D46" s="28"/>
      <c r="E46" s="28"/>
      <c r="G46" s="28"/>
      <c r="H46" s="29"/>
      <c r="I46" s="29"/>
      <c r="J46" s="28"/>
      <c r="K46" s="28"/>
    </row>
    <row r="47" spans="1:11" x14ac:dyDescent="0.25">
      <c r="A47" s="28"/>
      <c r="B47" s="29"/>
      <c r="C47" s="29"/>
      <c r="D47" s="28"/>
      <c r="E47" s="28"/>
      <c r="G47" s="28"/>
      <c r="H47" s="29"/>
      <c r="I47" s="29"/>
      <c r="J47" s="28"/>
      <c r="K47" s="28"/>
    </row>
    <row r="48" spans="1:11" x14ac:dyDescent="0.25">
      <c r="A48" s="28"/>
      <c r="B48" s="31"/>
      <c r="C48" s="29"/>
      <c r="D48" s="28"/>
      <c r="E48" s="28"/>
      <c r="G48" s="28"/>
      <c r="H48" s="31"/>
      <c r="I48" s="29"/>
      <c r="J48" s="28"/>
      <c r="K48" s="28"/>
    </row>
    <row r="49" spans="1:11" x14ac:dyDescent="0.25">
      <c r="A49" s="28"/>
      <c r="B49" s="31"/>
      <c r="C49" s="29"/>
      <c r="D49" s="28"/>
      <c r="E49" s="28"/>
      <c r="G49" s="28"/>
      <c r="H49" s="31"/>
      <c r="I49" s="29"/>
      <c r="J49" s="28"/>
      <c r="K49" s="28"/>
    </row>
    <row r="50" spans="1:11" x14ac:dyDescent="0.25">
      <c r="A50" s="28"/>
      <c r="B50" s="31"/>
      <c r="C50" s="29"/>
      <c r="D50" s="28"/>
      <c r="E50" s="28"/>
      <c r="G50" s="28"/>
      <c r="H50" s="31"/>
      <c r="I50" s="29"/>
      <c r="J50" s="28"/>
      <c r="K50" s="28"/>
    </row>
    <row r="51" spans="1:11" x14ac:dyDescent="0.25">
      <c r="A51" s="28"/>
      <c r="B51" s="29"/>
      <c r="C51" s="29"/>
      <c r="D51" s="28"/>
      <c r="E51" s="28"/>
      <c r="G51" s="28"/>
      <c r="H51" s="29"/>
      <c r="I51" s="29"/>
      <c r="J51" s="28"/>
      <c r="K51" s="28"/>
    </row>
    <row r="52" spans="1:11" x14ac:dyDescent="0.25">
      <c r="A52" s="28"/>
      <c r="B52" s="37"/>
      <c r="C52" s="37"/>
      <c r="D52" s="28"/>
      <c r="E52" s="28"/>
      <c r="G52" s="28"/>
      <c r="H52" s="37"/>
      <c r="I52" s="37"/>
      <c r="J52" s="28"/>
      <c r="K52" s="28"/>
    </row>
    <row r="53" spans="1:11" x14ac:dyDescent="0.25">
      <c r="A53" s="28"/>
      <c r="B53" s="29"/>
      <c r="C53" s="29"/>
      <c r="D53" s="28"/>
      <c r="E53" s="28"/>
      <c r="G53" s="28"/>
      <c r="H53" s="29"/>
      <c r="I53" s="29"/>
      <c r="J53" s="28"/>
      <c r="K53" s="28"/>
    </row>
    <row r="54" spans="1:11" x14ac:dyDescent="0.25">
      <c r="A54" s="28"/>
      <c r="B54" s="33"/>
      <c r="C54" s="29"/>
      <c r="D54" s="28"/>
      <c r="E54" s="28"/>
      <c r="G54" s="28"/>
      <c r="H54" s="33"/>
      <c r="I54" s="29"/>
      <c r="J54" s="28"/>
      <c r="K54" s="28"/>
    </row>
    <row r="55" spans="1:11" x14ac:dyDescent="0.25">
      <c r="A55" s="28"/>
      <c r="B55" s="29"/>
      <c r="C55" s="29"/>
      <c r="D55" s="28"/>
      <c r="E55" s="28"/>
      <c r="G55" s="28"/>
      <c r="H55" s="29"/>
      <c r="I55" s="29"/>
      <c r="J55" s="28"/>
      <c r="K55" s="28"/>
    </row>
    <row r="56" spans="1:11" x14ac:dyDescent="0.25">
      <c r="A56" s="28"/>
      <c r="B56" s="29"/>
      <c r="C56" s="29"/>
      <c r="D56" s="28"/>
      <c r="E56" s="28"/>
      <c r="G56" s="28"/>
      <c r="H56" s="29"/>
      <c r="I56" s="29"/>
      <c r="J56" s="28"/>
      <c r="K56" s="28"/>
    </row>
    <row r="57" spans="1:11" x14ac:dyDescent="0.25">
      <c r="A57" s="28"/>
      <c r="B57" s="29"/>
      <c r="C57" s="29"/>
      <c r="D57" s="28"/>
      <c r="E57" s="28"/>
      <c r="G57" s="28"/>
      <c r="H57" s="29"/>
      <c r="I57" s="29"/>
      <c r="J57" s="28"/>
      <c r="K57" s="28"/>
    </row>
    <row r="58" spans="1:11" x14ac:dyDescent="0.25">
      <c r="A58" s="28"/>
      <c r="B58" s="29"/>
      <c r="C58" s="29"/>
      <c r="D58" s="28"/>
      <c r="E58" s="28"/>
      <c r="G58" s="28"/>
      <c r="H58" s="29"/>
      <c r="I58" s="29"/>
      <c r="J58" s="28"/>
      <c r="K58" s="28"/>
    </row>
    <row r="59" spans="1:11" x14ac:dyDescent="0.25">
      <c r="A59" s="28"/>
      <c r="B59" s="29"/>
      <c r="C59" s="29"/>
      <c r="D59" s="28"/>
      <c r="E59" s="28"/>
      <c r="G59" s="28"/>
      <c r="H59" s="29"/>
      <c r="I59" s="29"/>
      <c r="J59" s="28"/>
      <c r="K59" s="28"/>
    </row>
    <row r="60" spans="1:11" x14ac:dyDescent="0.25">
      <c r="A60" s="28"/>
      <c r="B60" s="28"/>
      <c r="C60" s="28"/>
      <c r="D60" s="28"/>
      <c r="E60" s="28"/>
      <c r="G60" s="28"/>
      <c r="H60" s="28"/>
      <c r="I60" s="28"/>
      <c r="J60" s="28"/>
      <c r="K60" s="28"/>
    </row>
    <row r="61" spans="1:11" x14ac:dyDescent="0.25">
      <c r="A61" s="28"/>
      <c r="B61" s="28"/>
      <c r="C61" s="28"/>
      <c r="D61" s="28"/>
      <c r="E61" s="28"/>
      <c r="G61" s="28"/>
      <c r="H61" s="28"/>
      <c r="I61" s="28"/>
      <c r="J61" s="28"/>
      <c r="K61" s="28"/>
    </row>
    <row r="62" spans="1:11" x14ac:dyDescent="0.25">
      <c r="A62" s="28"/>
      <c r="B62" s="28"/>
      <c r="C62" s="28"/>
      <c r="D62" s="28"/>
      <c r="E62" s="28"/>
      <c r="G62" s="28"/>
      <c r="H62" s="28"/>
      <c r="I62" s="28"/>
      <c r="J62" s="28"/>
      <c r="K62" s="28"/>
    </row>
    <row r="63" spans="1:11" x14ac:dyDescent="0.25">
      <c r="A63" s="28"/>
      <c r="B63" s="28"/>
      <c r="C63" s="28"/>
      <c r="D63" s="28"/>
      <c r="E63" s="28"/>
      <c r="G63" s="28"/>
      <c r="H63" s="28"/>
      <c r="I63" s="28"/>
      <c r="J63" s="28"/>
      <c r="K63" s="28"/>
    </row>
    <row r="64" spans="1:11" x14ac:dyDescent="0.25">
      <c r="A64" s="28"/>
      <c r="B64" s="28"/>
      <c r="C64" s="28"/>
      <c r="D64" s="28"/>
      <c r="E64" s="28"/>
      <c r="G64" s="28"/>
      <c r="H64" s="28"/>
      <c r="I64" s="28"/>
      <c r="J64" s="28"/>
      <c r="K64" s="28"/>
    </row>
    <row r="65" spans="1:11" x14ac:dyDescent="0.25">
      <c r="A65" s="28"/>
      <c r="B65" s="28"/>
      <c r="C65" s="28"/>
      <c r="D65" s="28"/>
      <c r="E65" s="28"/>
      <c r="G65" s="28"/>
      <c r="H65" s="28"/>
      <c r="I65" s="28"/>
      <c r="J65" s="28"/>
      <c r="K65" s="28"/>
    </row>
    <row r="66" spans="1:11" x14ac:dyDescent="0.25">
      <c r="A66" s="28"/>
      <c r="B66" s="28"/>
      <c r="C66" s="28"/>
      <c r="D66" s="28"/>
      <c r="E66" s="28"/>
      <c r="G66" s="28"/>
      <c r="H66" s="28"/>
      <c r="I66" s="28"/>
      <c r="J66" s="28"/>
      <c r="K66" s="28"/>
    </row>
    <row r="67" spans="1:11" x14ac:dyDescent="0.25">
      <c r="A67" s="28"/>
      <c r="B67" s="28"/>
      <c r="C67" s="28"/>
      <c r="D67" s="28"/>
      <c r="E67" s="28"/>
      <c r="G67" s="28"/>
      <c r="H67" s="28"/>
      <c r="I67" s="28"/>
      <c r="J67" s="28"/>
      <c r="K67" s="28"/>
    </row>
    <row r="68" spans="1:11" x14ac:dyDescent="0.25">
      <c r="A68" s="28"/>
      <c r="B68" s="28"/>
      <c r="C68" s="28"/>
      <c r="D68" s="28"/>
      <c r="E68" s="28"/>
      <c r="G68" s="28"/>
      <c r="H68" s="28"/>
      <c r="I68" s="28"/>
      <c r="J68" s="28"/>
      <c r="K68" s="28"/>
    </row>
    <row r="69" spans="1:11" x14ac:dyDescent="0.25">
      <c r="A69" s="28"/>
      <c r="B69" s="28"/>
      <c r="C69" s="28"/>
      <c r="D69" s="28"/>
      <c r="E69" s="28"/>
      <c r="G69" s="28"/>
      <c r="H69" s="28"/>
      <c r="I69" s="28"/>
      <c r="J69" s="28"/>
      <c r="K69" s="28"/>
    </row>
    <row r="70" spans="1:11" x14ac:dyDescent="0.25">
      <c r="A70" s="28"/>
      <c r="B70" s="28"/>
      <c r="C70" s="28"/>
      <c r="D70" s="28"/>
      <c r="E70" s="28"/>
      <c r="G70" s="28"/>
      <c r="H70" s="28"/>
      <c r="I70" s="28"/>
      <c r="J70" s="28"/>
      <c r="K70" s="28"/>
    </row>
    <row r="71" spans="1:11" x14ac:dyDescent="0.25">
      <c r="A71" s="28"/>
      <c r="B71" s="35"/>
      <c r="C71" s="28"/>
      <c r="D71" s="28"/>
      <c r="E71" s="28"/>
      <c r="G71" s="28"/>
      <c r="H71" s="35"/>
      <c r="I71" s="28"/>
      <c r="J71" s="28"/>
      <c r="K71" s="28"/>
    </row>
    <row r="72" spans="1:11" x14ac:dyDescent="0.25">
      <c r="A72" s="28"/>
      <c r="B72" s="28"/>
      <c r="C72" s="28"/>
      <c r="D72" s="28"/>
      <c r="E72" s="28"/>
      <c r="G72" s="28"/>
      <c r="H72" s="28"/>
      <c r="I72" s="28"/>
      <c r="J72" s="28"/>
      <c r="K72" s="28"/>
    </row>
  </sheetData>
  <mergeCells count="2">
    <mergeCell ref="B19:C19"/>
    <mergeCell ref="H19:I1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6" r:id="rId3" name="Button 2">
              <controlPr defaultSize="0" print="0" autoFill="0" autoPict="0" macro="[0]!Exercise_5_15">
                <anchor moveWithCells="1" sizeWithCells="1">
                  <from>
                    <xdr:col>1</xdr:col>
                    <xdr:colOff>333375</xdr:colOff>
                    <xdr:row>12</xdr:row>
                    <xdr:rowOff>85725</xdr:rowOff>
                  </from>
                  <to>
                    <xdr:col>4</xdr:col>
                    <xdr:colOff>1657350</xdr:colOff>
                    <xdr:row>12</xdr:row>
                    <xdr:rowOff>638175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882E0-0419-4CA5-A4B0-EF1FCDCF7AF0}">
  <sheetPr codeName="Sheet10"/>
  <dimension ref="A1:F33"/>
  <sheetViews>
    <sheetView zoomScaleNormal="100" workbookViewId="0">
      <selection activeCell="I28" sqref="I28"/>
    </sheetView>
  </sheetViews>
  <sheetFormatPr defaultRowHeight="15" x14ac:dyDescent="0.25"/>
  <cols>
    <col min="2" max="2" width="28.140625" customWidth="1"/>
    <col min="3" max="3" width="18.140625" customWidth="1"/>
    <col min="4" max="4" width="29.28515625" customWidth="1"/>
    <col min="5" max="5" width="20.5703125" customWidth="1"/>
    <col min="6" max="6" width="29.85546875" customWidth="1"/>
  </cols>
  <sheetData>
    <row r="1" spans="1:4" x14ac:dyDescent="0.25">
      <c r="A1" t="s">
        <v>244</v>
      </c>
    </row>
    <row r="2" spans="1:4" x14ac:dyDescent="0.25">
      <c r="B2" t="s">
        <v>245</v>
      </c>
    </row>
    <row r="6" spans="1:4" x14ac:dyDescent="0.25">
      <c r="A6" t="s">
        <v>230</v>
      </c>
    </row>
    <row r="7" spans="1:4" x14ac:dyDescent="0.25">
      <c r="B7" t="s">
        <v>259</v>
      </c>
    </row>
    <row r="8" spans="1:4" ht="38.25" customHeight="1" x14ac:dyDescent="0.25"/>
    <row r="10" spans="1:4" x14ac:dyDescent="0.25">
      <c r="B10" s="19" t="s">
        <v>260</v>
      </c>
      <c r="C10" s="19" t="s">
        <v>261</v>
      </c>
      <c r="D10" s="19" t="s">
        <v>262</v>
      </c>
    </row>
    <row r="11" spans="1:4" x14ac:dyDescent="0.25">
      <c r="B11" s="13" t="s">
        <v>232</v>
      </c>
      <c r="C11" s="8">
        <v>14</v>
      </c>
      <c r="D11" s="8" t="s">
        <v>247</v>
      </c>
    </row>
    <row r="12" spans="1:4" x14ac:dyDescent="0.25">
      <c r="B12" s="13" t="s">
        <v>22</v>
      </c>
      <c r="C12" s="8">
        <v>0</v>
      </c>
      <c r="D12" s="8" t="s">
        <v>247</v>
      </c>
    </row>
    <row r="13" spans="1:4" x14ac:dyDescent="0.25">
      <c r="B13" s="13" t="s">
        <v>23</v>
      </c>
      <c r="C13" s="8">
        <v>1</v>
      </c>
      <c r="D13" s="8" t="s">
        <v>247</v>
      </c>
    </row>
    <row r="14" spans="1:4" ht="16.5" customHeight="1" x14ac:dyDescent="0.25">
      <c r="B14" s="13"/>
      <c r="C14" s="8">
        <f>(C13-C12)/C11</f>
        <v>7.1428571428571425E-2</v>
      </c>
      <c r="D14" s="8" t="s">
        <v>246</v>
      </c>
    </row>
    <row r="15" spans="1:4" ht="41.25" customHeight="1" x14ac:dyDescent="0.25">
      <c r="B15" s="8"/>
      <c r="C15" s="8">
        <f>C14/2</f>
        <v>3.5714285714285712E-2</v>
      </c>
      <c r="D15" s="8" t="s">
        <v>248</v>
      </c>
    </row>
    <row r="17" spans="1:6" ht="30.75" customHeight="1" x14ac:dyDescent="0.25">
      <c r="A17" s="8"/>
      <c r="B17" s="8"/>
      <c r="C17" s="32"/>
      <c r="D17" s="32" t="s">
        <v>250</v>
      </c>
      <c r="E17" s="8"/>
      <c r="F17" s="8"/>
    </row>
    <row r="18" spans="1:6" x14ac:dyDescent="0.25">
      <c r="A18" s="8">
        <v>0</v>
      </c>
      <c r="B18" s="8">
        <f>$C$12+(A18*$C$14)</f>
        <v>0</v>
      </c>
      <c r="C18" s="8">
        <f>SQRT((1-(B18^2)))</f>
        <v>1</v>
      </c>
      <c r="D18" s="8">
        <v>1</v>
      </c>
      <c r="E18" s="8">
        <f>C18*D18</f>
        <v>1</v>
      </c>
      <c r="F18" s="40">
        <f>E33*C15</f>
        <v>0.77979801222053624</v>
      </c>
    </row>
    <row r="19" spans="1:6" x14ac:dyDescent="0.25">
      <c r="A19" s="8">
        <v>1</v>
      </c>
      <c r="B19" s="8">
        <f t="shared" ref="B19:B31" si="0">$C$12+(A19*$C$14)</f>
        <v>7.1428571428571425E-2</v>
      </c>
      <c r="C19" s="8">
        <f t="shared" ref="C19:C32" si="1">SQRT((1-(B19^2)))</f>
        <v>0.99744571741206722</v>
      </c>
      <c r="D19" s="8">
        <v>2</v>
      </c>
      <c r="E19" s="8">
        <f t="shared" ref="E19:E32" si="2">C19*D19</f>
        <v>1.9948914348241344</v>
      </c>
      <c r="F19" s="13" t="s">
        <v>252</v>
      </c>
    </row>
    <row r="20" spans="1:6" x14ac:dyDescent="0.25">
      <c r="A20" s="8">
        <v>2</v>
      </c>
      <c r="B20" s="8">
        <f t="shared" si="0"/>
        <v>0.14285714285714285</v>
      </c>
      <c r="C20" s="8">
        <f t="shared" si="1"/>
        <v>0.98974331861078702</v>
      </c>
      <c r="D20" s="8">
        <v>2</v>
      </c>
      <c r="E20" s="8">
        <f t="shared" si="2"/>
        <v>1.979486637221574</v>
      </c>
    </row>
    <row r="21" spans="1:6" x14ac:dyDescent="0.25">
      <c r="A21" s="8">
        <v>3</v>
      </c>
      <c r="B21" s="8">
        <f t="shared" si="0"/>
        <v>0.21428571428571427</v>
      </c>
      <c r="C21" s="8">
        <f t="shared" si="1"/>
        <v>0.97677102365552448</v>
      </c>
      <c r="D21" s="8">
        <v>2</v>
      </c>
      <c r="E21" s="8">
        <f t="shared" si="2"/>
        <v>1.953542047311049</v>
      </c>
    </row>
    <row r="22" spans="1:6" x14ac:dyDescent="0.25">
      <c r="A22" s="8">
        <v>4</v>
      </c>
      <c r="B22" s="8">
        <f t="shared" si="0"/>
        <v>0.2857142857142857</v>
      </c>
      <c r="C22" s="8">
        <f t="shared" si="1"/>
        <v>0.95831484749990992</v>
      </c>
      <c r="D22" s="8">
        <v>2</v>
      </c>
      <c r="E22" s="8">
        <f t="shared" si="2"/>
        <v>1.9166296949998198</v>
      </c>
    </row>
    <row r="23" spans="1:6" x14ac:dyDescent="0.25">
      <c r="A23" s="8">
        <v>5</v>
      </c>
      <c r="B23" s="8">
        <f t="shared" si="0"/>
        <v>0.3571428571428571</v>
      </c>
      <c r="C23" s="8">
        <f t="shared" si="1"/>
        <v>0.93404977361585861</v>
      </c>
      <c r="D23" s="8">
        <v>2</v>
      </c>
      <c r="E23" s="8">
        <f t="shared" si="2"/>
        <v>1.8680995472317172</v>
      </c>
    </row>
    <row r="24" spans="1:6" x14ac:dyDescent="0.25">
      <c r="A24" s="8">
        <v>6</v>
      </c>
      <c r="B24" s="8">
        <f t="shared" si="0"/>
        <v>0.42857142857142855</v>
      </c>
      <c r="C24" s="8">
        <f t="shared" si="1"/>
        <v>0.90350790290525129</v>
      </c>
      <c r="D24" s="8">
        <v>2</v>
      </c>
      <c r="E24" s="8">
        <f t="shared" si="2"/>
        <v>1.8070158058105026</v>
      </c>
    </row>
    <row r="25" spans="1:6" x14ac:dyDescent="0.25">
      <c r="A25" s="8">
        <v>7</v>
      </c>
      <c r="B25" s="8">
        <f t="shared" si="0"/>
        <v>0.5</v>
      </c>
      <c r="C25" s="8">
        <f>SQRT((1-(B25^2)))</f>
        <v>0.8660254037844386</v>
      </c>
      <c r="D25" s="8">
        <v>2</v>
      </c>
      <c r="E25" s="8">
        <f t="shared" si="2"/>
        <v>1.7320508075688772</v>
      </c>
    </row>
    <row r="26" spans="1:6" x14ac:dyDescent="0.25">
      <c r="A26" s="8">
        <v>8</v>
      </c>
      <c r="B26" s="8">
        <f t="shared" si="0"/>
        <v>0.5714285714285714</v>
      </c>
      <c r="C26" s="8">
        <f t="shared" si="1"/>
        <v>0.82065180664828985</v>
      </c>
      <c r="D26" s="8">
        <v>2</v>
      </c>
      <c r="E26" s="8">
        <f t="shared" si="2"/>
        <v>1.6413036132965797</v>
      </c>
    </row>
    <row r="27" spans="1:6" x14ac:dyDescent="0.25">
      <c r="A27" s="8">
        <v>9</v>
      </c>
      <c r="B27" s="8">
        <f t="shared" si="0"/>
        <v>0.64285714285714279</v>
      </c>
      <c r="C27" s="8">
        <f t="shared" si="1"/>
        <v>0.76598609248311489</v>
      </c>
      <c r="D27" s="8">
        <v>2</v>
      </c>
      <c r="E27" s="8">
        <f t="shared" si="2"/>
        <v>1.5319721849662298</v>
      </c>
    </row>
    <row r="28" spans="1:6" x14ac:dyDescent="0.25">
      <c r="A28" s="8">
        <v>10</v>
      </c>
      <c r="B28" s="8">
        <f t="shared" si="0"/>
        <v>0.71428571428571419</v>
      </c>
      <c r="C28" s="8">
        <f t="shared" si="1"/>
        <v>0.6998542122237652</v>
      </c>
      <c r="D28" s="8">
        <v>2</v>
      </c>
      <c r="E28" s="8">
        <f t="shared" si="2"/>
        <v>1.3997084244475304</v>
      </c>
    </row>
    <row r="29" spans="1:6" x14ac:dyDescent="0.25">
      <c r="A29" s="8">
        <v>11</v>
      </c>
      <c r="B29" s="8">
        <f t="shared" si="0"/>
        <v>0.7857142857142857</v>
      </c>
      <c r="C29" s="8">
        <f t="shared" si="1"/>
        <v>0.61858957413174187</v>
      </c>
      <c r="D29" s="8">
        <v>2</v>
      </c>
      <c r="E29" s="8">
        <f t="shared" si="2"/>
        <v>1.2371791482634837</v>
      </c>
    </row>
    <row r="30" spans="1:6" x14ac:dyDescent="0.25">
      <c r="A30" s="8">
        <v>12</v>
      </c>
      <c r="B30" s="8">
        <f t="shared" si="0"/>
        <v>0.8571428571428571</v>
      </c>
      <c r="C30" s="8">
        <f t="shared" si="1"/>
        <v>0.51507875363771283</v>
      </c>
      <c r="D30" s="8">
        <v>2</v>
      </c>
      <c r="E30" s="8">
        <f t="shared" si="2"/>
        <v>1.0301575072754257</v>
      </c>
    </row>
    <row r="31" spans="1:6" x14ac:dyDescent="0.25">
      <c r="A31" s="8">
        <v>13</v>
      </c>
      <c r="B31" s="8">
        <f t="shared" si="0"/>
        <v>0.92857142857142849</v>
      </c>
      <c r="C31" s="8">
        <f t="shared" si="1"/>
        <v>0.37115374447904526</v>
      </c>
      <c r="D31" s="8">
        <v>2</v>
      </c>
      <c r="E31" s="8">
        <f t="shared" si="2"/>
        <v>0.74230748895809051</v>
      </c>
    </row>
    <row r="32" spans="1:6" x14ac:dyDescent="0.25">
      <c r="A32" s="8">
        <v>14</v>
      </c>
      <c r="B32" s="8">
        <f>$C$12+(A32*$C$14)</f>
        <v>1</v>
      </c>
      <c r="C32" s="8">
        <f t="shared" si="1"/>
        <v>0</v>
      </c>
      <c r="D32" s="8">
        <v>1</v>
      </c>
      <c r="E32" s="8">
        <f t="shared" si="2"/>
        <v>0</v>
      </c>
    </row>
    <row r="33" spans="1:5" x14ac:dyDescent="0.25">
      <c r="A33" s="8"/>
      <c r="B33" s="8" t="s">
        <v>263</v>
      </c>
      <c r="C33" s="8" t="s">
        <v>251</v>
      </c>
      <c r="D33" s="8"/>
      <c r="E33" s="8">
        <f>SUM(E18:E32)</f>
        <v>21.834344342175015</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C2330-D0D9-47C1-8B6C-BB3BF813E395}">
  <sheetPr codeName="Sheet12"/>
  <dimension ref="A1:F35"/>
  <sheetViews>
    <sheetView topLeftCell="A7" zoomScaleNormal="100" workbookViewId="0">
      <selection activeCell="L29" sqref="L29"/>
    </sheetView>
  </sheetViews>
  <sheetFormatPr defaultRowHeight="15" x14ac:dyDescent="0.25"/>
  <cols>
    <col min="2" max="2" width="26.28515625" customWidth="1"/>
    <col min="3" max="3" width="18.140625" customWidth="1"/>
    <col min="4" max="4" width="27.42578125" customWidth="1"/>
    <col min="5" max="5" width="20.5703125" customWidth="1"/>
    <col min="6" max="6" width="29.85546875" customWidth="1"/>
  </cols>
  <sheetData>
    <row r="1" spans="1:4" x14ac:dyDescent="0.25">
      <c r="A1" t="s">
        <v>254</v>
      </c>
    </row>
    <row r="2" spans="1:4" x14ac:dyDescent="0.25">
      <c r="B2" t="s">
        <v>253</v>
      </c>
    </row>
    <row r="6" spans="1:4" x14ac:dyDescent="0.25">
      <c r="A6" t="s">
        <v>230</v>
      </c>
    </row>
    <row r="7" spans="1:4" x14ac:dyDescent="0.25">
      <c r="B7" t="s">
        <v>265</v>
      </c>
    </row>
    <row r="10" spans="1:4" x14ac:dyDescent="0.25">
      <c r="B10" s="19" t="s">
        <v>260</v>
      </c>
      <c r="C10" s="19" t="s">
        <v>261</v>
      </c>
      <c r="D10" s="19" t="s">
        <v>262</v>
      </c>
    </row>
    <row r="11" spans="1:4" x14ac:dyDescent="0.25">
      <c r="B11" s="13" t="s">
        <v>232</v>
      </c>
      <c r="C11" s="8">
        <v>14</v>
      </c>
      <c r="D11" s="8" t="s">
        <v>247</v>
      </c>
    </row>
    <row r="12" spans="1:4" x14ac:dyDescent="0.25">
      <c r="B12" s="13" t="s">
        <v>22</v>
      </c>
      <c r="C12" s="8">
        <v>0</v>
      </c>
      <c r="D12" s="8" t="s">
        <v>247</v>
      </c>
    </row>
    <row r="13" spans="1:4" x14ac:dyDescent="0.25">
      <c r="B13" s="13" t="s">
        <v>23</v>
      </c>
      <c r="C13" s="8">
        <v>1</v>
      </c>
      <c r="D13" s="8" t="s">
        <v>247</v>
      </c>
    </row>
    <row r="14" spans="1:4" ht="16.5" customHeight="1" x14ac:dyDescent="0.25">
      <c r="B14" s="13"/>
      <c r="C14" s="8">
        <f>(C13-C12)/C11</f>
        <v>7.1428571428571425E-2</v>
      </c>
      <c r="D14" s="8" t="s">
        <v>246</v>
      </c>
    </row>
    <row r="15" spans="1:4" ht="41.25" customHeight="1" x14ac:dyDescent="0.25">
      <c r="B15" s="8"/>
      <c r="C15" s="8">
        <f>C14/3</f>
        <v>2.3809523809523808E-2</v>
      </c>
      <c r="D15" s="8" t="s">
        <v>255</v>
      </c>
    </row>
    <row r="17" spans="1:6" ht="30.75" customHeight="1" x14ac:dyDescent="0.25">
      <c r="A17" s="8"/>
      <c r="B17" s="8"/>
      <c r="C17" s="32"/>
      <c r="D17" s="32" t="s">
        <v>250</v>
      </c>
      <c r="E17" s="8"/>
      <c r="F17" s="8"/>
    </row>
    <row r="18" spans="1:6" x14ac:dyDescent="0.25">
      <c r="A18" s="8">
        <v>0</v>
      </c>
      <c r="B18" s="8">
        <f>$C$12+(A18*$C$14)</f>
        <v>0</v>
      </c>
      <c r="C18" s="8">
        <f>SQRT((1-(B18^2)))</f>
        <v>1</v>
      </c>
      <c r="D18" s="8">
        <v>1</v>
      </c>
      <c r="E18" s="8">
        <f>C18*D18</f>
        <v>1</v>
      </c>
      <c r="F18" s="40">
        <f>E33*C15</f>
        <v>0.78319969050710958</v>
      </c>
    </row>
    <row r="19" spans="1:6" x14ac:dyDescent="0.25">
      <c r="A19" s="8">
        <v>1</v>
      </c>
      <c r="B19" s="8">
        <f t="shared" ref="B19:B31" si="0">$C$12+(A19*$C$14)</f>
        <v>7.1428571428571425E-2</v>
      </c>
      <c r="C19" s="8">
        <f t="shared" ref="C19:C32" si="1">SQRT((1-(B19^2)))</f>
        <v>0.99744571741206722</v>
      </c>
      <c r="D19" s="8">
        <v>4</v>
      </c>
      <c r="E19" s="8">
        <f>C19*D19</f>
        <v>3.9897828696482689</v>
      </c>
      <c r="F19" s="13" t="s">
        <v>252</v>
      </c>
    </row>
    <row r="20" spans="1:6" x14ac:dyDescent="0.25">
      <c r="A20" s="8">
        <v>2</v>
      </c>
      <c r="B20" s="8">
        <f t="shared" si="0"/>
        <v>0.14285714285714285</v>
      </c>
      <c r="C20" s="8">
        <f t="shared" si="1"/>
        <v>0.98974331861078702</v>
      </c>
      <c r="D20" s="8">
        <v>2</v>
      </c>
      <c r="E20" s="8">
        <f t="shared" ref="E20:E32" si="2">C20*D20</f>
        <v>1.979486637221574</v>
      </c>
      <c r="F20" s="57" t="s">
        <v>270</v>
      </c>
    </row>
    <row r="21" spans="1:6" x14ac:dyDescent="0.25">
      <c r="A21" s="8">
        <v>3</v>
      </c>
      <c r="B21" s="8">
        <f t="shared" si="0"/>
        <v>0.21428571428571427</v>
      </c>
      <c r="C21" s="8">
        <f t="shared" si="1"/>
        <v>0.97677102365552448</v>
      </c>
      <c r="D21" s="8">
        <v>4</v>
      </c>
      <c r="E21" s="8">
        <f t="shared" si="2"/>
        <v>3.9070840946220979</v>
      </c>
      <c r="F21" s="57"/>
    </row>
    <row r="22" spans="1:6" x14ac:dyDescent="0.25">
      <c r="A22" s="8">
        <v>4</v>
      </c>
      <c r="B22" s="8">
        <f t="shared" si="0"/>
        <v>0.2857142857142857</v>
      </c>
      <c r="C22" s="8">
        <f t="shared" si="1"/>
        <v>0.95831484749990992</v>
      </c>
      <c r="D22" s="8">
        <v>2</v>
      </c>
      <c r="E22" s="8">
        <f t="shared" si="2"/>
        <v>1.9166296949998198</v>
      </c>
      <c r="F22" s="57"/>
    </row>
    <row r="23" spans="1:6" x14ac:dyDescent="0.25">
      <c r="A23" s="8">
        <v>5</v>
      </c>
      <c r="B23" s="8">
        <f t="shared" si="0"/>
        <v>0.3571428571428571</v>
      </c>
      <c r="C23" s="8">
        <f t="shared" si="1"/>
        <v>0.93404977361585861</v>
      </c>
      <c r="D23" s="8">
        <v>4</v>
      </c>
      <c r="E23" s="8">
        <f t="shared" si="2"/>
        <v>3.7361990944634345</v>
      </c>
      <c r="F23" s="57"/>
    </row>
    <row r="24" spans="1:6" x14ac:dyDescent="0.25">
      <c r="A24" s="8">
        <v>6</v>
      </c>
      <c r="B24" s="8">
        <f t="shared" si="0"/>
        <v>0.42857142857142855</v>
      </c>
      <c r="C24" s="8">
        <f t="shared" si="1"/>
        <v>0.90350790290525129</v>
      </c>
      <c r="D24" s="8">
        <v>2</v>
      </c>
      <c r="E24" s="8">
        <f t="shared" si="2"/>
        <v>1.8070158058105026</v>
      </c>
      <c r="F24" s="57"/>
    </row>
    <row r="25" spans="1:6" x14ac:dyDescent="0.25">
      <c r="A25" s="8">
        <v>7</v>
      </c>
      <c r="B25" s="8">
        <f t="shared" si="0"/>
        <v>0.5</v>
      </c>
      <c r="C25" s="8">
        <f>SQRT((1-(B25^2)))</f>
        <v>0.8660254037844386</v>
      </c>
      <c r="D25" s="8">
        <v>4</v>
      </c>
      <c r="E25" s="8">
        <f t="shared" si="2"/>
        <v>3.4641016151377544</v>
      </c>
      <c r="F25" s="57"/>
    </row>
    <row r="26" spans="1:6" x14ac:dyDescent="0.25">
      <c r="A26" s="8">
        <v>8</v>
      </c>
      <c r="B26" s="8">
        <f t="shared" si="0"/>
        <v>0.5714285714285714</v>
      </c>
      <c r="C26" s="8">
        <f t="shared" si="1"/>
        <v>0.82065180664828985</v>
      </c>
      <c r="D26" s="8">
        <v>2</v>
      </c>
      <c r="E26" s="8">
        <f t="shared" si="2"/>
        <v>1.6413036132965797</v>
      </c>
      <c r="F26" s="57"/>
    </row>
    <row r="27" spans="1:6" x14ac:dyDescent="0.25">
      <c r="A27" s="8">
        <v>9</v>
      </c>
      <c r="B27" s="8">
        <f t="shared" si="0"/>
        <v>0.64285714285714279</v>
      </c>
      <c r="C27" s="8">
        <f t="shared" si="1"/>
        <v>0.76598609248311489</v>
      </c>
      <c r="D27" s="8">
        <v>4</v>
      </c>
      <c r="E27" s="8">
        <f t="shared" si="2"/>
        <v>3.0639443699324596</v>
      </c>
    </row>
    <row r="28" spans="1:6" x14ac:dyDescent="0.25">
      <c r="A28" s="8">
        <v>10</v>
      </c>
      <c r="B28" s="8">
        <f t="shared" si="0"/>
        <v>0.71428571428571419</v>
      </c>
      <c r="C28" s="8">
        <f t="shared" si="1"/>
        <v>0.6998542122237652</v>
      </c>
      <c r="D28" s="8">
        <v>2</v>
      </c>
      <c r="E28" s="8">
        <f>C28*D28</f>
        <v>1.3997084244475304</v>
      </c>
    </row>
    <row r="29" spans="1:6" x14ac:dyDescent="0.25">
      <c r="A29" s="8">
        <v>11</v>
      </c>
      <c r="B29" s="8">
        <f t="shared" si="0"/>
        <v>0.7857142857142857</v>
      </c>
      <c r="C29" s="8">
        <f t="shared" si="1"/>
        <v>0.61858957413174187</v>
      </c>
      <c r="D29" s="8">
        <v>4</v>
      </c>
      <c r="E29" s="8">
        <f t="shared" si="2"/>
        <v>2.4743582965269675</v>
      </c>
    </row>
    <row r="30" spans="1:6" x14ac:dyDescent="0.25">
      <c r="A30" s="8">
        <v>12</v>
      </c>
      <c r="B30" s="8">
        <f t="shared" si="0"/>
        <v>0.8571428571428571</v>
      </c>
      <c r="C30" s="8">
        <f t="shared" si="1"/>
        <v>0.51507875363771283</v>
      </c>
      <c r="D30" s="8">
        <v>2</v>
      </c>
      <c r="E30" s="8">
        <f t="shared" si="2"/>
        <v>1.0301575072754257</v>
      </c>
    </row>
    <row r="31" spans="1:6" x14ac:dyDescent="0.25">
      <c r="A31" s="8">
        <v>13</v>
      </c>
      <c r="B31" s="8">
        <f t="shared" si="0"/>
        <v>0.92857142857142849</v>
      </c>
      <c r="C31" s="8">
        <f t="shared" si="1"/>
        <v>0.37115374447904526</v>
      </c>
      <c r="D31" s="8">
        <v>4</v>
      </c>
      <c r="E31" s="8">
        <f t="shared" si="2"/>
        <v>1.484614977916181</v>
      </c>
    </row>
    <row r="32" spans="1:6" x14ac:dyDescent="0.25">
      <c r="A32" s="8">
        <v>14</v>
      </c>
      <c r="B32" s="8">
        <f>$C$12+(A32*$C$14)</f>
        <v>1</v>
      </c>
      <c r="C32" s="8">
        <f t="shared" si="1"/>
        <v>0</v>
      </c>
      <c r="D32" s="8">
        <v>1</v>
      </c>
      <c r="E32" s="8">
        <f t="shared" si="2"/>
        <v>0</v>
      </c>
    </row>
    <row r="33" spans="1:5" x14ac:dyDescent="0.25">
      <c r="A33" s="8"/>
      <c r="B33" s="8" t="s">
        <v>249</v>
      </c>
      <c r="C33" s="8" t="s">
        <v>251</v>
      </c>
      <c r="D33" s="8"/>
      <c r="E33" s="8">
        <f>SUM(E18:E32)</f>
        <v>32.894387001298604</v>
      </c>
    </row>
    <row r="35" spans="1:5" ht="53.25" customHeight="1" x14ac:dyDescent="0.25">
      <c r="C35" s="43">
        <f>F18</f>
        <v>0.78319969050710958</v>
      </c>
    </row>
  </sheetData>
  <mergeCells count="1">
    <mergeCell ref="F20:F26"/>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4051B-6928-4458-8BF2-E5C0B302F487}">
  <sheetPr codeName="Sheet11"/>
  <dimension ref="A1:F41"/>
  <sheetViews>
    <sheetView topLeftCell="A19" workbookViewId="0">
      <selection activeCell="K34" sqref="K34"/>
    </sheetView>
  </sheetViews>
  <sheetFormatPr defaultRowHeight="15" x14ac:dyDescent="0.25"/>
  <cols>
    <col min="2" max="2" width="31.5703125" customWidth="1"/>
    <col min="3" max="3" width="18.140625" customWidth="1"/>
    <col min="4" max="4" width="29.28515625" customWidth="1"/>
    <col min="5" max="5" width="26" customWidth="1"/>
    <col min="6" max="6" width="29.85546875" customWidth="1"/>
  </cols>
  <sheetData>
    <row r="1" spans="1:6" x14ac:dyDescent="0.25">
      <c r="A1" t="s">
        <v>256</v>
      </c>
    </row>
    <row r="2" spans="1:6" x14ac:dyDescent="0.25">
      <c r="A2" t="s">
        <v>257</v>
      </c>
    </row>
    <row r="7" spans="1:6" x14ac:dyDescent="0.25">
      <c r="A7" t="s">
        <v>258</v>
      </c>
    </row>
    <row r="8" spans="1:6" x14ac:dyDescent="0.25">
      <c r="A8" t="s">
        <v>230</v>
      </c>
    </row>
    <row r="9" spans="1:6" x14ac:dyDescent="0.25">
      <c r="B9" t="s">
        <v>259</v>
      </c>
    </row>
    <row r="10" spans="1:6" ht="45.75" customHeight="1" x14ac:dyDescent="0.25"/>
    <row r="12" spans="1:6" x14ac:dyDescent="0.25">
      <c r="B12" s="19" t="s">
        <v>260</v>
      </c>
      <c r="C12" s="19" t="s">
        <v>261</v>
      </c>
      <c r="D12" s="19" t="s">
        <v>262</v>
      </c>
      <c r="F12" s="42"/>
    </row>
    <row r="13" spans="1:6" x14ac:dyDescent="0.25">
      <c r="B13" s="13" t="s">
        <v>232</v>
      </c>
      <c r="C13" s="8">
        <v>16</v>
      </c>
      <c r="D13" s="8" t="s">
        <v>247</v>
      </c>
    </row>
    <row r="14" spans="1:6" x14ac:dyDescent="0.25">
      <c r="B14" s="13" t="s">
        <v>22</v>
      </c>
      <c r="C14" s="8">
        <v>0</v>
      </c>
      <c r="D14" s="8" t="s">
        <v>247</v>
      </c>
    </row>
    <row r="15" spans="1:6" x14ac:dyDescent="0.25">
      <c r="B15" s="13" t="s">
        <v>23</v>
      </c>
      <c r="C15" s="8">
        <v>0.8</v>
      </c>
      <c r="D15" s="8" t="s">
        <v>247</v>
      </c>
    </row>
    <row r="16" spans="1:6" x14ac:dyDescent="0.25">
      <c r="B16" s="13"/>
      <c r="C16" s="8">
        <f>(C15-C14)/C13</f>
        <v>0.05</v>
      </c>
      <c r="D16" s="8" t="s">
        <v>246</v>
      </c>
    </row>
    <row r="17" spans="1:6" ht="39.75" customHeight="1" x14ac:dyDescent="0.25">
      <c r="B17" s="8"/>
      <c r="C17" s="8">
        <f>C16/2</f>
        <v>2.5000000000000001E-2</v>
      </c>
      <c r="D17" s="8" t="s">
        <v>248</v>
      </c>
    </row>
    <row r="18" spans="1:6" ht="39.75" customHeight="1" x14ac:dyDescent="0.25">
      <c r="B18" s="8"/>
      <c r="C18" s="8">
        <f>2/PI()</f>
        <v>0.63661977236758138</v>
      </c>
      <c r="D18" s="8" t="s">
        <v>268</v>
      </c>
    </row>
    <row r="20" spans="1:6" ht="30" customHeight="1" x14ac:dyDescent="0.25">
      <c r="A20" s="8"/>
      <c r="B20" s="8"/>
      <c r="C20" s="32"/>
      <c r="D20" s="32" t="s">
        <v>250</v>
      </c>
      <c r="E20" s="8"/>
      <c r="F20" s="8"/>
    </row>
    <row r="21" spans="1:6" x14ac:dyDescent="0.25">
      <c r="A21" s="8">
        <v>0</v>
      </c>
      <c r="B21" s="8">
        <f>$C$14+(A21*$C$16)</f>
        <v>0</v>
      </c>
      <c r="C21" s="8">
        <f>EXP((-((B21^2)/2)))</f>
        <v>1</v>
      </c>
      <c r="D21" s="8">
        <v>1</v>
      </c>
      <c r="E21" s="8">
        <f>C21*D21</f>
        <v>1</v>
      </c>
      <c r="F21" s="41">
        <f>E38*C17</f>
        <v>0.72215036835014434</v>
      </c>
    </row>
    <row r="22" spans="1:6" x14ac:dyDescent="0.25">
      <c r="A22" s="8">
        <v>1</v>
      </c>
      <c r="B22" s="8">
        <f t="shared" ref="B22:B37" si="0">$C$14+(A22*$C$16)</f>
        <v>0.05</v>
      </c>
      <c r="C22" s="8">
        <f t="shared" ref="C22:C37" si="1">EXP((-((B22^2)/2)))</f>
        <v>0.99875078092458092</v>
      </c>
      <c r="D22" s="8">
        <v>2</v>
      </c>
      <c r="E22" s="8">
        <f t="shared" ref="E22:E37" si="2">C22*D22</f>
        <v>1.9975015618491618</v>
      </c>
      <c r="F22" s="13" t="s">
        <v>252</v>
      </c>
    </row>
    <row r="23" spans="1:6" x14ac:dyDescent="0.25">
      <c r="A23" s="8">
        <v>2</v>
      </c>
      <c r="B23" s="8">
        <f t="shared" si="0"/>
        <v>0.1</v>
      </c>
      <c r="C23" s="8">
        <f t="shared" si="1"/>
        <v>0.99501247919268232</v>
      </c>
      <c r="D23" s="8">
        <v>2</v>
      </c>
      <c r="E23" s="8">
        <f t="shared" si="2"/>
        <v>1.9900249583853646</v>
      </c>
      <c r="F23" s="57" t="s">
        <v>267</v>
      </c>
    </row>
    <row r="24" spans="1:6" x14ac:dyDescent="0.25">
      <c r="A24" s="8">
        <v>3</v>
      </c>
      <c r="B24" s="8">
        <f t="shared" si="0"/>
        <v>0.15000000000000002</v>
      </c>
      <c r="C24" s="8">
        <f t="shared" si="1"/>
        <v>0.98881304461123309</v>
      </c>
      <c r="D24" s="8">
        <v>2</v>
      </c>
      <c r="E24" s="8">
        <f t="shared" si="2"/>
        <v>1.9776260892224662</v>
      </c>
      <c r="F24" s="57"/>
    </row>
    <row r="25" spans="1:6" x14ac:dyDescent="0.25">
      <c r="A25" s="8">
        <v>4</v>
      </c>
      <c r="B25" s="8">
        <f t="shared" si="0"/>
        <v>0.2</v>
      </c>
      <c r="C25" s="8">
        <f t="shared" si="1"/>
        <v>0.98019867330675525</v>
      </c>
      <c r="D25" s="8">
        <v>2</v>
      </c>
      <c r="E25" s="8">
        <f t="shared" si="2"/>
        <v>1.9603973466135105</v>
      </c>
      <c r="F25" s="57"/>
    </row>
    <row r="26" spans="1:6" x14ac:dyDescent="0.25">
      <c r="A26" s="8">
        <v>5</v>
      </c>
      <c r="B26" s="8">
        <f t="shared" si="0"/>
        <v>0.25</v>
      </c>
      <c r="C26" s="8">
        <f t="shared" si="1"/>
        <v>0.96923323447634413</v>
      </c>
      <c r="D26" s="8">
        <v>2</v>
      </c>
      <c r="E26" s="8">
        <f t="shared" si="2"/>
        <v>1.9384664689526883</v>
      </c>
      <c r="F26" s="57"/>
    </row>
    <row r="27" spans="1:6" x14ac:dyDescent="0.25">
      <c r="A27" s="8">
        <v>6</v>
      </c>
      <c r="B27" s="8">
        <f t="shared" si="0"/>
        <v>0.30000000000000004</v>
      </c>
      <c r="C27" s="8">
        <f t="shared" si="1"/>
        <v>0.95599748183309985</v>
      </c>
      <c r="D27" s="8">
        <v>2</v>
      </c>
      <c r="E27" s="8">
        <f t="shared" si="2"/>
        <v>1.9119949636661997</v>
      </c>
      <c r="F27" s="57"/>
    </row>
    <row r="28" spans="1:6" x14ac:dyDescent="0.25">
      <c r="A28" s="8">
        <v>7</v>
      </c>
      <c r="B28" s="8">
        <f t="shared" si="0"/>
        <v>0.35000000000000003</v>
      </c>
      <c r="C28" s="8">
        <f t="shared" si="1"/>
        <v>0.94058806336434209</v>
      </c>
      <c r="D28" s="8">
        <v>2</v>
      </c>
      <c r="E28" s="8">
        <f t="shared" si="2"/>
        <v>1.8811761267286842</v>
      </c>
      <c r="F28" s="57"/>
    </row>
    <row r="29" spans="1:6" x14ac:dyDescent="0.25">
      <c r="A29" s="8">
        <v>8</v>
      </c>
      <c r="B29" s="8">
        <f t="shared" si="0"/>
        <v>0.4</v>
      </c>
      <c r="C29" s="8">
        <f t="shared" si="1"/>
        <v>0.92311634638663576</v>
      </c>
      <c r="D29" s="8">
        <v>2</v>
      </c>
      <c r="E29" s="8">
        <f t="shared" si="2"/>
        <v>1.8462326927732715</v>
      </c>
      <c r="F29" s="57"/>
    </row>
    <row r="30" spans="1:6" x14ac:dyDescent="0.25">
      <c r="A30" s="8">
        <v>9</v>
      </c>
      <c r="B30" s="8">
        <f t="shared" si="0"/>
        <v>0.45</v>
      </c>
      <c r="C30" s="8">
        <f t="shared" si="1"/>
        <v>0.90370707787319604</v>
      </c>
      <c r="D30" s="8">
        <v>2</v>
      </c>
      <c r="E30" s="8">
        <f t="shared" si="2"/>
        <v>1.8074141557463921</v>
      </c>
      <c r="F30" s="57"/>
    </row>
    <row r="31" spans="1:6" x14ac:dyDescent="0.25">
      <c r="A31" s="8">
        <v>10</v>
      </c>
      <c r="B31" s="8">
        <f t="shared" si="0"/>
        <v>0.5</v>
      </c>
      <c r="C31" s="8">
        <f t="shared" si="1"/>
        <v>0.88249690258459546</v>
      </c>
      <c r="D31" s="8">
        <v>2</v>
      </c>
      <c r="E31" s="8">
        <f t="shared" si="2"/>
        <v>1.7649938051691909</v>
      </c>
    </row>
    <row r="32" spans="1:6" x14ac:dyDescent="0.25">
      <c r="A32" s="8">
        <v>11</v>
      </c>
      <c r="B32" s="8">
        <f t="shared" si="0"/>
        <v>0.55000000000000004</v>
      </c>
      <c r="C32" s="8">
        <f t="shared" si="1"/>
        <v>0.85963276360254215</v>
      </c>
      <c r="D32" s="8">
        <v>2</v>
      </c>
      <c r="E32" s="8">
        <f t="shared" si="2"/>
        <v>1.7192655272050843</v>
      </c>
    </row>
    <row r="33" spans="1:5" x14ac:dyDescent="0.25">
      <c r="A33" s="8">
        <v>12</v>
      </c>
      <c r="B33" s="8">
        <f t="shared" si="0"/>
        <v>0.60000000000000009</v>
      </c>
      <c r="C33" s="8">
        <f t="shared" si="1"/>
        <v>0.835270211411272</v>
      </c>
      <c r="D33" s="8">
        <v>2</v>
      </c>
      <c r="E33" s="8">
        <f t="shared" si="2"/>
        <v>1.670540422822544</v>
      </c>
    </row>
    <row r="34" spans="1:5" x14ac:dyDescent="0.25">
      <c r="A34" s="8">
        <v>13</v>
      </c>
      <c r="B34" s="8">
        <f t="shared" si="0"/>
        <v>0.65</v>
      </c>
      <c r="C34" s="8">
        <f t="shared" si="1"/>
        <v>0.80957164866788689</v>
      </c>
      <c r="D34" s="8">
        <v>2</v>
      </c>
      <c r="E34" s="8">
        <f t="shared" si="2"/>
        <v>1.6191432973357738</v>
      </c>
    </row>
    <row r="35" spans="1:5" x14ac:dyDescent="0.25">
      <c r="A35" s="8">
        <v>14</v>
      </c>
      <c r="B35" s="8">
        <f t="shared" si="0"/>
        <v>0.70000000000000007</v>
      </c>
      <c r="C35" s="8">
        <f t="shared" si="1"/>
        <v>0.78270453824186814</v>
      </c>
      <c r="D35" s="8">
        <v>2</v>
      </c>
      <c r="E35" s="8">
        <f t="shared" si="2"/>
        <v>1.5654090764837363</v>
      </c>
    </row>
    <row r="36" spans="1:5" x14ac:dyDescent="0.25">
      <c r="A36" s="8">
        <v>15</v>
      </c>
      <c r="B36" s="8">
        <f t="shared" si="0"/>
        <v>0.75</v>
      </c>
      <c r="C36" s="8">
        <f t="shared" si="1"/>
        <v>0.75483960198900735</v>
      </c>
      <c r="D36" s="8">
        <v>2</v>
      </c>
      <c r="E36" s="8">
        <f t="shared" si="2"/>
        <v>1.5096792039780147</v>
      </c>
    </row>
    <row r="37" spans="1:5" x14ac:dyDescent="0.25">
      <c r="A37" s="8">
        <v>16</v>
      </c>
      <c r="B37" s="8">
        <f t="shared" si="0"/>
        <v>0.8</v>
      </c>
      <c r="C37" s="8">
        <f t="shared" si="1"/>
        <v>0.72614903707369083</v>
      </c>
      <c r="D37" s="8">
        <v>1</v>
      </c>
      <c r="E37" s="8">
        <f t="shared" si="2"/>
        <v>0.72614903707369083</v>
      </c>
    </row>
    <row r="38" spans="1:5" x14ac:dyDescent="0.25">
      <c r="A38" s="8"/>
      <c r="B38" s="8" t="s">
        <v>264</v>
      </c>
      <c r="C38" s="8" t="s">
        <v>251</v>
      </c>
      <c r="D38" s="8"/>
      <c r="E38" s="8">
        <f>SUM(E21:E37)</f>
        <v>28.886014734005773</v>
      </c>
    </row>
    <row r="40" spans="1:5" ht="43.5" customHeight="1" x14ac:dyDescent="0.25">
      <c r="C40" s="12">
        <f>F21*C18</f>
        <v>0.45973520311423394</v>
      </c>
      <c r="D40" t="s">
        <v>269</v>
      </c>
    </row>
    <row r="41" spans="1:5" ht="16.5" x14ac:dyDescent="0.3">
      <c r="B41" t="s">
        <v>266</v>
      </c>
    </row>
  </sheetData>
  <mergeCells count="1">
    <mergeCell ref="F23:F30"/>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83DD3B-FC76-45D5-BD9B-1B48FF57AC26}">
  <sheetPr codeName="Sheet13"/>
  <dimension ref="A1:K35"/>
  <sheetViews>
    <sheetView workbookViewId="0">
      <selection activeCell="C14" sqref="C14:J14"/>
    </sheetView>
  </sheetViews>
  <sheetFormatPr defaultRowHeight="15" x14ac:dyDescent="0.25"/>
  <cols>
    <col min="3" max="3" width="5.42578125" style="45" customWidth="1"/>
    <col min="4" max="4" width="15.85546875" customWidth="1"/>
    <col min="5" max="5" width="20.42578125" customWidth="1"/>
    <col min="6" max="7" width="19.28515625" customWidth="1"/>
    <col min="8" max="8" width="24.28515625" customWidth="1"/>
    <col min="15" max="15" width="12.7109375" bestFit="1" customWidth="1"/>
  </cols>
  <sheetData>
    <row r="1" spans="1:11" x14ac:dyDescent="0.25">
      <c r="A1" t="s">
        <v>271</v>
      </c>
    </row>
    <row r="2" spans="1:11" ht="41.25" customHeight="1" x14ac:dyDescent="0.25">
      <c r="A2" s="11" t="s">
        <v>272</v>
      </c>
    </row>
    <row r="3" spans="1:11" ht="25.5" customHeight="1" x14ac:dyDescent="0.25">
      <c r="A3" s="44" t="s">
        <v>273</v>
      </c>
    </row>
    <row r="4" spans="1:11" x14ac:dyDescent="0.25">
      <c r="A4" t="s">
        <v>274</v>
      </c>
    </row>
    <row r="5" spans="1:11" x14ac:dyDescent="0.25">
      <c r="A5" t="s">
        <v>230</v>
      </c>
    </row>
    <row r="6" spans="1:11" x14ac:dyDescent="0.25">
      <c r="B6" t="s">
        <v>276</v>
      </c>
    </row>
    <row r="7" spans="1:11" ht="39.75" customHeight="1" x14ac:dyDescent="0.25"/>
    <row r="8" spans="1:11" x14ac:dyDescent="0.25">
      <c r="B8" t="s">
        <v>277</v>
      </c>
    </row>
    <row r="9" spans="1:11" ht="48" customHeight="1" x14ac:dyDescent="0.25"/>
    <row r="10" spans="1:11" x14ac:dyDescent="0.25">
      <c r="B10" t="s">
        <v>278</v>
      </c>
    </row>
    <row r="11" spans="1:11" ht="64.5" customHeight="1" x14ac:dyDescent="0.25"/>
    <row r="12" spans="1:11" x14ac:dyDescent="0.25">
      <c r="B12" t="s">
        <v>311</v>
      </c>
    </row>
    <row r="13" spans="1:11" x14ac:dyDescent="0.25">
      <c r="K13" t="s">
        <v>312</v>
      </c>
    </row>
    <row r="14" spans="1:11" ht="50.25" customHeight="1" x14ac:dyDescent="0.25">
      <c r="C14" s="48"/>
      <c r="D14" s="48"/>
      <c r="E14" s="48"/>
      <c r="F14" s="48"/>
      <c r="G14" s="48"/>
      <c r="H14" s="48"/>
      <c r="I14" s="48" t="s">
        <v>279</v>
      </c>
      <c r="J14" s="48" t="s">
        <v>280</v>
      </c>
    </row>
    <row r="15" spans="1:11" x14ac:dyDescent="0.25">
      <c r="B15" s="13" t="s">
        <v>275</v>
      </c>
      <c r="C15" s="46">
        <v>0</v>
      </c>
      <c r="D15" s="8">
        <v>0.5</v>
      </c>
      <c r="E15" s="47">
        <f>(EXP(D15))-SIN(D15)</f>
        <v>1.1692957320959252</v>
      </c>
      <c r="F15" s="8">
        <f>EXP(D15)-COS(D15)</f>
        <v>0.77113870880975544</v>
      </c>
      <c r="G15" s="47">
        <f>D15-(E15/F15)</f>
        <v>-1.0163234820629365</v>
      </c>
      <c r="H15" s="8"/>
      <c r="I15" s="8"/>
      <c r="J15" s="8"/>
    </row>
    <row r="16" spans="1:11" x14ac:dyDescent="0.25">
      <c r="B16" s="13" t="s">
        <v>275</v>
      </c>
      <c r="C16" s="46">
        <v>1</v>
      </c>
      <c r="D16" s="47">
        <f>G15</f>
        <v>-1.0163234820629365</v>
      </c>
      <c r="E16" s="47">
        <f t="shared" ref="E16:E34" si="0">(EXP(D16))-SIN(D16)</f>
        <v>1.2121012170730552</v>
      </c>
      <c r="F16" s="8">
        <f t="shared" ref="F16:F34" si="1">EXP(D16)-COS(D16)</f>
        <v>-0.16457208354283392</v>
      </c>
      <c r="G16" s="47">
        <f t="shared" ref="G16:G21" si="2">D16-(E16/F16)</f>
        <v>6.3488455732196147</v>
      </c>
      <c r="H16" s="52">
        <f>ABS((D16-D15)/D16)*100</f>
        <v>149.19693471856996</v>
      </c>
      <c r="I16" s="32" t="s">
        <v>281</v>
      </c>
      <c r="J16" s="32" t="s">
        <v>285</v>
      </c>
    </row>
    <row r="17" spans="2:10" x14ac:dyDescent="0.25">
      <c r="B17" s="13" t="s">
        <v>275</v>
      </c>
      <c r="C17" s="46">
        <v>2</v>
      </c>
      <c r="D17" s="47">
        <f>G16</f>
        <v>6.3488455732196147</v>
      </c>
      <c r="E17" s="47">
        <f t="shared" si="0"/>
        <v>571.76657633656555</v>
      </c>
      <c r="F17" s="8">
        <f t="shared" si="1"/>
        <v>570.83434429383203</v>
      </c>
      <c r="G17" s="47">
        <f t="shared" si="2"/>
        <v>5.3472124688837379</v>
      </c>
      <c r="H17" s="52">
        <f t="shared" ref="H17:H34" si="3">ABS((D17-D16)/D17)*100</f>
        <v>116.00800445280859</v>
      </c>
      <c r="I17" s="32" t="s">
        <v>285</v>
      </c>
      <c r="J17" s="32" t="s">
        <v>303</v>
      </c>
    </row>
    <row r="18" spans="2:10" x14ac:dyDescent="0.25">
      <c r="B18" s="13" t="s">
        <v>275</v>
      </c>
      <c r="C18" s="46">
        <v>3</v>
      </c>
      <c r="D18" s="47">
        <f t="shared" ref="D18:D21" si="4">G17</f>
        <v>5.3472124688837379</v>
      </c>
      <c r="E18" s="47">
        <f t="shared" si="0"/>
        <v>210.82721455780373</v>
      </c>
      <c r="F18" s="8">
        <f t="shared" si="1"/>
        <v>209.42900277051652</v>
      </c>
      <c r="G18" s="47">
        <f t="shared" si="2"/>
        <v>4.3405361644140115</v>
      </c>
      <c r="H18" s="52">
        <f t="shared" si="3"/>
        <v>18.731874040250613</v>
      </c>
      <c r="I18" s="32" t="s">
        <v>286</v>
      </c>
      <c r="J18" s="32" t="s">
        <v>287</v>
      </c>
    </row>
    <row r="19" spans="2:10" x14ac:dyDescent="0.25">
      <c r="B19" s="13" t="s">
        <v>275</v>
      </c>
      <c r="C19" s="46">
        <v>4</v>
      </c>
      <c r="D19" s="47">
        <f t="shared" si="4"/>
        <v>4.3405361644140115</v>
      </c>
      <c r="E19" s="47">
        <f t="shared" si="0"/>
        <v>77.680333957627909</v>
      </c>
      <c r="F19" s="8">
        <f t="shared" si="1"/>
        <v>77.112020460064457</v>
      </c>
      <c r="G19" s="47">
        <f t="shared" si="2"/>
        <v>3.3331661915592896</v>
      </c>
      <c r="H19" s="52">
        <f t="shared" si="3"/>
        <v>23.192441356046885</v>
      </c>
      <c r="I19" s="32" t="s">
        <v>287</v>
      </c>
      <c r="J19" s="32" t="s">
        <v>282</v>
      </c>
    </row>
    <row r="20" spans="2:10" x14ac:dyDescent="0.25">
      <c r="B20" s="13" t="s">
        <v>275</v>
      </c>
      <c r="C20" s="46">
        <v>5</v>
      </c>
      <c r="D20" s="47">
        <f t="shared" si="4"/>
        <v>3.3331661915592896</v>
      </c>
      <c r="E20" s="47">
        <f t="shared" si="0"/>
        <v>28.217343912020763</v>
      </c>
      <c r="F20" s="8">
        <f t="shared" si="1"/>
        <v>29.008645873407197</v>
      </c>
      <c r="G20" s="47">
        <f t="shared" si="2"/>
        <v>2.360444333560114</v>
      </c>
      <c r="H20" s="52">
        <f t="shared" si="3"/>
        <v>30.222614624069006</v>
      </c>
      <c r="I20" s="32" t="s">
        <v>282</v>
      </c>
      <c r="J20" s="32" t="s">
        <v>288</v>
      </c>
    </row>
    <row r="21" spans="2:10" x14ac:dyDescent="0.25">
      <c r="B21" s="13" t="s">
        <v>275</v>
      </c>
      <c r="C21" s="46">
        <v>6</v>
      </c>
      <c r="D21" s="47">
        <f t="shared" si="4"/>
        <v>2.360444333560114</v>
      </c>
      <c r="E21" s="47">
        <f t="shared" si="0"/>
        <v>9.8915631016601999</v>
      </c>
      <c r="F21" s="8">
        <f t="shared" si="1"/>
        <v>11.305763892877687</v>
      </c>
      <c r="G21" s="47">
        <f t="shared" si="2"/>
        <v>1.4855310419521399</v>
      </c>
      <c r="H21" s="52">
        <f t="shared" si="3"/>
        <v>41.209269126549522</v>
      </c>
      <c r="I21" s="32" t="s">
        <v>288</v>
      </c>
      <c r="J21" s="32" t="s">
        <v>284</v>
      </c>
    </row>
    <row r="22" spans="2:10" x14ac:dyDescent="0.25">
      <c r="B22" s="13" t="s">
        <v>275</v>
      </c>
      <c r="C22" s="46">
        <v>7</v>
      </c>
      <c r="D22" s="47">
        <f t="shared" ref="D22:D27" si="5">G21</f>
        <v>1.4855310419521399</v>
      </c>
      <c r="E22" s="47">
        <f t="shared" si="0"/>
        <v>3.4209434498894669</v>
      </c>
      <c r="F22" s="8">
        <f t="shared" si="1"/>
        <v>4.3321485603725467</v>
      </c>
      <c r="G22" s="47">
        <f t="shared" ref="G22:G27" si="6">D22-(E22/F22)</f>
        <v>0.69586665205058951</v>
      </c>
      <c r="H22" s="52">
        <f t="shared" si="3"/>
        <v>58.89565865000359</v>
      </c>
      <c r="I22" s="32" t="s">
        <v>284</v>
      </c>
      <c r="J22" s="32" t="s">
        <v>289</v>
      </c>
    </row>
    <row r="23" spans="2:10" x14ac:dyDescent="0.25">
      <c r="B23" s="13" t="s">
        <v>275</v>
      </c>
      <c r="C23" s="46">
        <v>8</v>
      </c>
      <c r="D23" s="47">
        <f t="shared" si="5"/>
        <v>0.69586665205058951</v>
      </c>
      <c r="E23" s="47">
        <f t="shared" si="0"/>
        <v>1.36439551094375</v>
      </c>
      <c r="F23" s="8">
        <f t="shared" si="1"/>
        <v>1.2379479231448924</v>
      </c>
      <c r="G23" s="47">
        <f t="shared" si="6"/>
        <v>-0.40627624542899843</v>
      </c>
      <c r="H23" s="52">
        <f t="shared" si="3"/>
        <v>113.47926899134431</v>
      </c>
      <c r="I23" s="32" t="s">
        <v>289</v>
      </c>
      <c r="J23" s="32" t="s">
        <v>290</v>
      </c>
    </row>
    <row r="24" spans="2:10" x14ac:dyDescent="0.25">
      <c r="B24" s="13" t="s">
        <v>275</v>
      </c>
      <c r="C24" s="46">
        <v>9</v>
      </c>
      <c r="D24" s="47">
        <f t="shared" si="5"/>
        <v>-0.40627624542899843</v>
      </c>
      <c r="E24" s="47">
        <f t="shared" si="0"/>
        <v>1.0613175671042827</v>
      </c>
      <c r="F24" s="8">
        <f t="shared" si="1"/>
        <v>-0.25247265643435612</v>
      </c>
      <c r="G24" s="47">
        <f t="shared" si="6"/>
        <v>3.7974168676912705</v>
      </c>
      <c r="H24" s="52">
        <f t="shared" si="3"/>
        <v>271.27918746905925</v>
      </c>
      <c r="I24" s="32" t="s">
        <v>290</v>
      </c>
      <c r="J24" s="32" t="s">
        <v>291</v>
      </c>
    </row>
    <row r="25" spans="2:10" x14ac:dyDescent="0.25">
      <c r="B25" s="13" t="s">
        <v>275</v>
      </c>
      <c r="C25" s="46">
        <v>10</v>
      </c>
      <c r="D25" s="47">
        <f t="shared" si="5"/>
        <v>3.7974168676912705</v>
      </c>
      <c r="E25" s="47">
        <f t="shared" si="0"/>
        <v>45.195677104646862</v>
      </c>
      <c r="F25" s="8">
        <f t="shared" si="1"/>
        <v>45.378410008165623</v>
      </c>
      <c r="G25" s="47">
        <f t="shared" si="6"/>
        <v>2.801443736492665</v>
      </c>
      <c r="H25" s="52">
        <f t="shared" si="3"/>
        <v>110.69875285185647</v>
      </c>
      <c r="I25" s="32" t="s">
        <v>291</v>
      </c>
      <c r="J25" s="32" t="s">
        <v>292</v>
      </c>
    </row>
    <row r="26" spans="2:10" x14ac:dyDescent="0.25">
      <c r="B26" s="13" t="s">
        <v>275</v>
      </c>
      <c r="C26" s="46">
        <v>11</v>
      </c>
      <c r="D26" s="47">
        <f t="shared" si="5"/>
        <v>2.801443736492665</v>
      </c>
      <c r="E26" s="47">
        <f t="shared" si="0"/>
        <v>16.134778173675393</v>
      </c>
      <c r="F26" s="8">
        <f t="shared" si="1"/>
        <v>17.41111064755146</v>
      </c>
      <c r="G26" s="47">
        <f t="shared" si="6"/>
        <v>1.8747493687244354</v>
      </c>
      <c r="H26" s="52">
        <f t="shared" si="3"/>
        <v>35.552137571948464</v>
      </c>
      <c r="I26" s="32" t="s">
        <v>292</v>
      </c>
      <c r="J26" s="32" t="s">
        <v>293</v>
      </c>
    </row>
    <row r="27" spans="2:10" x14ac:dyDescent="0.25">
      <c r="B27" s="13" t="s">
        <v>275</v>
      </c>
      <c r="C27" s="46">
        <v>12</v>
      </c>
      <c r="D27" s="47">
        <f t="shared" si="5"/>
        <v>1.8747493687244354</v>
      </c>
      <c r="E27" s="47">
        <f t="shared" si="0"/>
        <v>5.5650241797974598</v>
      </c>
      <c r="F27" s="8">
        <f t="shared" si="1"/>
        <v>6.8184793769530359</v>
      </c>
      <c r="G27" s="47">
        <f t="shared" si="6"/>
        <v>1.058581441516552</v>
      </c>
      <c r="H27" s="52">
        <f t="shared" si="3"/>
        <v>49.430306964111423</v>
      </c>
      <c r="I27" s="32" t="s">
        <v>293</v>
      </c>
      <c r="J27" s="32" t="s">
        <v>294</v>
      </c>
    </row>
    <row r="28" spans="2:10" x14ac:dyDescent="0.25">
      <c r="B28" s="13" t="s">
        <v>275</v>
      </c>
      <c r="C28" s="46">
        <v>13</v>
      </c>
      <c r="D28" s="47">
        <f t="shared" ref="D28:D34" si="7">G27</f>
        <v>1.058581441516552</v>
      </c>
      <c r="E28" s="47">
        <f t="shared" si="0"/>
        <v>2.0106182947613322</v>
      </c>
      <c r="F28" s="8">
        <f t="shared" si="1"/>
        <v>2.3921703291409799</v>
      </c>
      <c r="G28" s="47">
        <f t="shared" ref="G28:G34" si="8">D28-(E28/F28)</f>
        <v>0.21808180389946874</v>
      </c>
      <c r="H28" s="52">
        <f t="shared" si="3"/>
        <v>77.100154527422987</v>
      </c>
      <c r="I28" s="32" t="s">
        <v>294</v>
      </c>
      <c r="J28" s="32" t="s">
        <v>295</v>
      </c>
    </row>
    <row r="29" spans="2:10" x14ac:dyDescent="0.25">
      <c r="B29" s="13" t="s">
        <v>275</v>
      </c>
      <c r="C29" s="46">
        <v>14</v>
      </c>
      <c r="D29" s="47">
        <f t="shared" si="7"/>
        <v>0.21808180389946874</v>
      </c>
      <c r="E29" s="47">
        <f t="shared" si="0"/>
        <v>1.0273315419898212</v>
      </c>
      <c r="F29" s="8">
        <f t="shared" si="1"/>
        <v>0.26737454116089931</v>
      </c>
      <c r="G29" s="47">
        <f t="shared" si="8"/>
        <v>-3.6242119968839006</v>
      </c>
      <c r="H29" s="52">
        <f t="shared" si="3"/>
        <v>385.40567006889597</v>
      </c>
      <c r="I29" s="32" t="s">
        <v>295</v>
      </c>
      <c r="J29" s="32" t="s">
        <v>296</v>
      </c>
    </row>
    <row r="30" spans="2:10" x14ac:dyDescent="0.25">
      <c r="B30" s="13" t="s">
        <v>275</v>
      </c>
      <c r="C30" s="46">
        <v>15</v>
      </c>
      <c r="D30" s="47">
        <f t="shared" si="7"/>
        <v>-3.6242119968839006</v>
      </c>
      <c r="E30" s="47">
        <f t="shared" si="0"/>
        <v>-0.43743082778035219</v>
      </c>
      <c r="F30" s="8">
        <f t="shared" si="1"/>
        <v>0.91245242834343865</v>
      </c>
      <c r="G30" s="47">
        <f t="shared" si="8"/>
        <v>-3.1448107544821351</v>
      </c>
      <c r="H30" s="52">
        <f t="shared" si="3"/>
        <v>106.01735781700891</v>
      </c>
      <c r="I30" s="32" t="s">
        <v>296</v>
      </c>
      <c r="J30" s="32" t="s">
        <v>297</v>
      </c>
    </row>
    <row r="31" spans="2:10" x14ac:dyDescent="0.25">
      <c r="B31" s="13" t="s">
        <v>275</v>
      </c>
      <c r="C31" s="46">
        <v>16</v>
      </c>
      <c r="D31" s="47">
        <f t="shared" si="7"/>
        <v>-3.1448107544821351</v>
      </c>
      <c r="E31" s="47">
        <f t="shared" si="0"/>
        <v>3.9856979702610568E-2</v>
      </c>
      <c r="F31" s="8">
        <f t="shared" si="1"/>
        <v>1.0430698969582122</v>
      </c>
      <c r="G31" s="47">
        <f t="shared" si="8"/>
        <v>-3.183021980612657</v>
      </c>
      <c r="H31" s="52">
        <f t="shared" si="3"/>
        <v>15.244200043468432</v>
      </c>
      <c r="I31" s="32" t="s">
        <v>297</v>
      </c>
      <c r="J31" s="32" t="s">
        <v>298</v>
      </c>
    </row>
    <row r="32" spans="2:10" x14ac:dyDescent="0.25">
      <c r="B32" s="13" t="s">
        <v>275</v>
      </c>
      <c r="C32" s="46">
        <v>17</v>
      </c>
      <c r="D32" s="47">
        <f t="shared" si="7"/>
        <v>-3.183021980612657</v>
      </c>
      <c r="E32" s="47">
        <f t="shared" si="0"/>
        <v>4.2697208796869945E-5</v>
      </c>
      <c r="F32" s="8">
        <f t="shared" si="1"/>
        <v>1.0406021019480729</v>
      </c>
      <c r="G32" s="47">
        <f t="shared" si="8"/>
        <v>-3.1830630118663099</v>
      </c>
      <c r="H32" s="52">
        <f t="shared" si="3"/>
        <v>1.2004700678556766</v>
      </c>
      <c r="I32" s="32" t="s">
        <v>298</v>
      </c>
      <c r="J32" s="32" t="s">
        <v>299</v>
      </c>
    </row>
    <row r="33" spans="2:10" x14ac:dyDescent="0.25">
      <c r="B33" s="13" t="s">
        <v>275</v>
      </c>
      <c r="C33" s="46">
        <v>18</v>
      </c>
      <c r="D33" s="47">
        <f t="shared" si="7"/>
        <v>-3.1830630118663099</v>
      </c>
      <c r="E33" s="47">
        <f t="shared" si="0"/>
        <v>6.9775976663244421E-11</v>
      </c>
      <c r="F33" s="8">
        <f t="shared" si="1"/>
        <v>1.0405987005680206</v>
      </c>
      <c r="G33" s="47">
        <f t="shared" si="8"/>
        <v>-3.1830630119333634</v>
      </c>
      <c r="H33" s="52">
        <f t="shared" si="3"/>
        <v>1.289049368485452E-3</v>
      </c>
      <c r="I33" s="32" t="s">
        <v>299</v>
      </c>
      <c r="J33" s="32" t="s">
        <v>300</v>
      </c>
    </row>
    <row r="34" spans="2:10" x14ac:dyDescent="0.25">
      <c r="B34" s="13" t="s">
        <v>275</v>
      </c>
      <c r="C34" s="46">
        <v>19</v>
      </c>
      <c r="D34" s="47">
        <f>G33</f>
        <v>-3.1830630119333634</v>
      </c>
      <c r="E34" s="47">
        <f>(EXP(D34))-SIN(D34)</f>
        <v>2.1510571102112408E-16</v>
      </c>
      <c r="F34" s="47">
        <f>EXP(D34)-COS(D34)</f>
        <v>1.0405987005624608</v>
      </c>
      <c r="G34" s="47">
        <f>D34-(E34/F34)</f>
        <v>-3.1830630119333634</v>
      </c>
      <c r="H34" s="52">
        <f>ABS((D34-D33)/D34)*100</f>
        <v>2.1065707349520278E-9</v>
      </c>
      <c r="I34" s="32" t="s">
        <v>300</v>
      </c>
      <c r="J34" s="32" t="s">
        <v>301</v>
      </c>
    </row>
    <row r="35" spans="2:10" x14ac:dyDescent="0.25">
      <c r="B35" s="49" t="s">
        <v>308</v>
      </c>
      <c r="C35" s="49"/>
      <c r="D35" s="50" t="s">
        <v>422</v>
      </c>
      <c r="E35" s="50" t="s">
        <v>423</v>
      </c>
      <c r="F35" s="50" t="s">
        <v>424</v>
      </c>
      <c r="G35" s="50" t="s">
        <v>425</v>
      </c>
      <c r="H35" s="50" t="s">
        <v>426</v>
      </c>
      <c r="I35" s="50"/>
      <c r="J35" s="50"/>
    </row>
  </sheetData>
  <phoneticPr fontId="5" type="noConversion"/>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86E64-0AA8-48DB-833E-A938022CDE43}">
  <sheetPr codeName="Sheet14"/>
  <dimension ref="A1:W44"/>
  <sheetViews>
    <sheetView topLeftCell="I1" workbookViewId="0">
      <selection activeCell="R7" sqref="R7"/>
    </sheetView>
  </sheetViews>
  <sheetFormatPr defaultRowHeight="15" x14ac:dyDescent="0.25"/>
  <cols>
    <col min="4" max="4" width="5.42578125" customWidth="1"/>
    <col min="5" max="5" width="15.42578125" customWidth="1"/>
    <col min="6" max="6" width="19.5703125" customWidth="1"/>
    <col min="7" max="7" width="19.28515625" customWidth="1"/>
    <col min="8" max="8" width="22.28515625" customWidth="1"/>
    <col min="9" max="9" width="16.42578125" customWidth="1"/>
    <col min="16" max="16" width="5.42578125" customWidth="1"/>
    <col min="17" max="17" width="15.42578125" customWidth="1"/>
    <col min="18" max="18" width="19.140625" customWidth="1"/>
    <col min="19" max="19" width="21.85546875" customWidth="1"/>
    <col min="20" max="20" width="24.5703125" customWidth="1"/>
    <col min="21" max="21" width="16.42578125" customWidth="1"/>
  </cols>
  <sheetData>
    <row r="1" spans="1:23" x14ac:dyDescent="0.25">
      <c r="A1" t="s">
        <v>271</v>
      </c>
    </row>
    <row r="2" spans="1:23" ht="45" customHeight="1" x14ac:dyDescent="0.25">
      <c r="A2" s="11" t="s">
        <v>272</v>
      </c>
    </row>
    <row r="3" spans="1:23" ht="29.25" customHeight="1" x14ac:dyDescent="0.25">
      <c r="A3" s="44" t="s">
        <v>273</v>
      </c>
    </row>
    <row r="4" spans="1:23" x14ac:dyDescent="0.25">
      <c r="A4" s="44" t="s">
        <v>309</v>
      </c>
    </row>
    <row r="5" spans="1:23" x14ac:dyDescent="0.25">
      <c r="A5" t="s">
        <v>230</v>
      </c>
    </row>
    <row r="6" spans="1:23" x14ac:dyDescent="0.25">
      <c r="B6" t="s">
        <v>312</v>
      </c>
    </row>
    <row r="7" spans="1:23" x14ac:dyDescent="0.25">
      <c r="B7" t="s">
        <v>77</v>
      </c>
    </row>
    <row r="8" spans="1:23" x14ac:dyDescent="0.25">
      <c r="B8" t="s">
        <v>310</v>
      </c>
    </row>
    <row r="10" spans="1:23" x14ac:dyDescent="0.25">
      <c r="B10" t="s">
        <v>314</v>
      </c>
    </row>
    <row r="11" spans="1:23" x14ac:dyDescent="0.25">
      <c r="B11" t="s">
        <v>315</v>
      </c>
    </row>
    <row r="12" spans="1:23" ht="68.25" customHeight="1" x14ac:dyDescent="0.25">
      <c r="O12" s="53" t="s">
        <v>313</v>
      </c>
    </row>
    <row r="13" spans="1:23" ht="54" customHeight="1" x14ac:dyDescent="0.25">
      <c r="D13" s="48"/>
      <c r="E13" s="48"/>
      <c r="F13" s="48"/>
      <c r="G13" s="48"/>
      <c r="H13" s="48"/>
      <c r="I13" s="48"/>
      <c r="J13" s="68" t="s">
        <v>279</v>
      </c>
      <c r="K13" s="68" t="s">
        <v>280</v>
      </c>
      <c r="P13" s="48"/>
      <c r="Q13" s="48"/>
      <c r="R13" s="48"/>
      <c r="S13" s="48"/>
      <c r="T13" s="48"/>
      <c r="U13" s="48"/>
      <c r="V13" s="68" t="s">
        <v>279</v>
      </c>
      <c r="W13" s="68" t="s">
        <v>280</v>
      </c>
    </row>
    <row r="14" spans="1:23" x14ac:dyDescent="0.25">
      <c r="C14" s="51"/>
      <c r="D14" s="46"/>
      <c r="E14" s="29"/>
      <c r="F14" s="8"/>
      <c r="G14" s="8"/>
      <c r="H14" s="8"/>
      <c r="I14" s="8"/>
      <c r="J14" s="8"/>
      <c r="K14" s="8"/>
      <c r="O14" s="51" t="s">
        <v>275</v>
      </c>
      <c r="P14" s="46">
        <v>0</v>
      </c>
      <c r="Q14" s="29">
        <v>0.5</v>
      </c>
      <c r="R14" s="8">
        <v>1.1692957320959252</v>
      </c>
      <c r="S14" s="8">
        <v>0.77113870880975544</v>
      </c>
      <c r="T14" s="8">
        <v>-1.0163234820629365</v>
      </c>
      <c r="U14" s="8"/>
      <c r="V14" s="8"/>
      <c r="W14" s="8"/>
    </row>
    <row r="15" spans="1:23" x14ac:dyDescent="0.25">
      <c r="C15" s="13"/>
      <c r="D15" s="46"/>
      <c r="E15" s="8"/>
      <c r="F15" s="8"/>
      <c r="G15" s="8"/>
      <c r="H15" s="8"/>
      <c r="I15" s="8"/>
      <c r="J15" s="8"/>
      <c r="K15" s="8"/>
      <c r="O15" s="13" t="s">
        <v>275</v>
      </c>
      <c r="P15" s="46">
        <v>1</v>
      </c>
      <c r="Q15" s="8">
        <v>-1.0163234820629365</v>
      </c>
      <c r="R15" s="8">
        <v>1.2121012170730552</v>
      </c>
      <c r="S15" s="8">
        <v>-0.16457208354283392</v>
      </c>
      <c r="T15" s="8">
        <v>6.3488455732196147</v>
      </c>
      <c r="U15" s="8">
        <v>149.19693471856996</v>
      </c>
      <c r="V15" s="8" t="s">
        <v>281</v>
      </c>
      <c r="W15" s="8" t="s">
        <v>285</v>
      </c>
    </row>
    <row r="16" spans="1:23" x14ac:dyDescent="0.25">
      <c r="C16" s="13"/>
      <c r="D16" s="46"/>
      <c r="E16" s="8"/>
      <c r="F16" s="8"/>
      <c r="G16" s="8"/>
      <c r="H16" s="8"/>
      <c r="I16" s="8"/>
      <c r="J16" s="8"/>
      <c r="K16" s="8"/>
      <c r="O16" s="13" t="s">
        <v>275</v>
      </c>
      <c r="P16" s="46">
        <v>2</v>
      </c>
      <c r="Q16" s="8">
        <v>6.3488455732196147</v>
      </c>
      <c r="R16" s="8">
        <v>571.76657633656555</v>
      </c>
      <c r="S16" s="8">
        <v>570.83434429383203</v>
      </c>
      <c r="T16" s="8">
        <v>5.3472124688837379</v>
      </c>
      <c r="U16" s="8">
        <v>116.00800445280859</v>
      </c>
      <c r="V16" s="8" t="s">
        <v>285</v>
      </c>
      <c r="W16" s="8" t="s">
        <v>286</v>
      </c>
    </row>
    <row r="17" spans="3:23" x14ac:dyDescent="0.25">
      <c r="C17" s="13"/>
      <c r="D17" s="46"/>
      <c r="E17" s="8"/>
      <c r="F17" s="8"/>
      <c r="G17" s="8"/>
      <c r="H17" s="8"/>
      <c r="I17" s="8"/>
      <c r="J17" s="8"/>
      <c r="K17" s="8"/>
      <c r="O17" s="13" t="s">
        <v>275</v>
      </c>
      <c r="P17" s="46">
        <v>3</v>
      </c>
      <c r="Q17" s="8">
        <v>5.3472124688837379</v>
      </c>
      <c r="R17" s="8">
        <v>210.82721455780373</v>
      </c>
      <c r="S17" s="8">
        <v>209.42900277051652</v>
      </c>
      <c r="T17" s="8">
        <v>4.3405361644140115</v>
      </c>
      <c r="U17" s="8">
        <v>18.731874040250613</v>
      </c>
      <c r="V17" s="8" t="s">
        <v>286</v>
      </c>
      <c r="W17" s="8" t="s">
        <v>287</v>
      </c>
    </row>
    <row r="18" spans="3:23" x14ac:dyDescent="0.25">
      <c r="C18" s="13"/>
      <c r="D18" s="46"/>
      <c r="E18" s="8"/>
      <c r="F18" s="8"/>
      <c r="G18" s="8"/>
      <c r="H18" s="8"/>
      <c r="I18" s="8"/>
      <c r="J18" s="8"/>
      <c r="K18" s="8"/>
      <c r="O18" s="13" t="s">
        <v>275</v>
      </c>
      <c r="P18" s="46">
        <v>4</v>
      </c>
      <c r="Q18" s="8">
        <v>4.3405361644140115</v>
      </c>
      <c r="R18" s="8">
        <v>77.680333957627909</v>
      </c>
      <c r="S18" s="8">
        <v>77.112020460064457</v>
      </c>
      <c r="T18" s="8">
        <v>3.3331661915592896</v>
      </c>
      <c r="U18" s="8">
        <v>23.192441356046885</v>
      </c>
      <c r="V18" s="8" t="s">
        <v>287</v>
      </c>
      <c r="W18" s="8" t="s">
        <v>282</v>
      </c>
    </row>
    <row r="19" spans="3:23" x14ac:dyDescent="0.25">
      <c r="C19" s="13"/>
      <c r="D19" s="46"/>
      <c r="E19" s="8"/>
      <c r="F19" s="8"/>
      <c r="G19" s="8"/>
      <c r="H19" s="8"/>
      <c r="I19" s="8"/>
      <c r="J19" s="8"/>
      <c r="K19" s="8"/>
      <c r="O19" s="13" t="s">
        <v>275</v>
      </c>
      <c r="P19" s="46">
        <v>5</v>
      </c>
      <c r="Q19" s="8">
        <v>3.3331661915592896</v>
      </c>
      <c r="R19" s="8">
        <v>28.217343912020763</v>
      </c>
      <c r="S19" s="8">
        <v>29.008645873407197</v>
      </c>
      <c r="T19" s="8">
        <v>2.360444333560114</v>
      </c>
      <c r="U19" s="8">
        <v>30.222614624069006</v>
      </c>
      <c r="V19" s="8" t="s">
        <v>282</v>
      </c>
      <c r="W19" s="8" t="s">
        <v>288</v>
      </c>
    </row>
    <row r="20" spans="3:23" x14ac:dyDescent="0.25">
      <c r="C20" s="13"/>
      <c r="D20" s="46"/>
      <c r="E20" s="8"/>
      <c r="F20" s="8"/>
      <c r="G20" s="8"/>
      <c r="H20" s="8"/>
      <c r="I20" s="8"/>
      <c r="J20" s="8"/>
      <c r="K20" s="8"/>
      <c r="O20" s="13" t="s">
        <v>275</v>
      </c>
      <c r="P20" s="46">
        <v>6</v>
      </c>
      <c r="Q20" s="8">
        <v>2.360444333560114</v>
      </c>
      <c r="R20" s="8">
        <v>9.8915631016601999</v>
      </c>
      <c r="S20" s="8">
        <v>11.305763892877687</v>
      </c>
      <c r="T20" s="8">
        <v>1.4855310419521399</v>
      </c>
      <c r="U20" s="8">
        <v>41.209269126549522</v>
      </c>
      <c r="V20" s="8" t="s">
        <v>288</v>
      </c>
      <c r="W20" s="8" t="s">
        <v>284</v>
      </c>
    </row>
    <row r="21" spans="3:23" x14ac:dyDescent="0.25">
      <c r="C21" s="13"/>
      <c r="D21" s="46"/>
      <c r="E21" s="8"/>
      <c r="F21" s="8"/>
      <c r="G21" s="8"/>
      <c r="H21" s="8"/>
      <c r="I21" s="8"/>
      <c r="J21" s="8"/>
      <c r="K21" s="8"/>
      <c r="O21" s="13" t="s">
        <v>275</v>
      </c>
      <c r="P21" s="46">
        <v>7</v>
      </c>
      <c r="Q21" s="8">
        <v>1.4855310419521399</v>
      </c>
      <c r="R21" s="8">
        <v>3.4209434498894669</v>
      </c>
      <c r="S21" s="8">
        <v>4.3321485603725467</v>
      </c>
      <c r="T21" s="8">
        <v>0.69586665205058951</v>
      </c>
      <c r="U21" s="8">
        <v>58.89565865000359</v>
      </c>
      <c r="V21" s="8" t="s">
        <v>284</v>
      </c>
      <c r="W21" s="8" t="s">
        <v>289</v>
      </c>
    </row>
    <row r="22" spans="3:23" x14ac:dyDescent="0.25">
      <c r="C22" s="13"/>
      <c r="D22" s="46"/>
      <c r="E22" s="8"/>
      <c r="F22" s="8"/>
      <c r="G22" s="8"/>
      <c r="H22" s="8"/>
      <c r="I22" s="8"/>
      <c r="J22" s="8"/>
      <c r="K22" s="8"/>
      <c r="O22" s="13" t="s">
        <v>275</v>
      </c>
      <c r="P22" s="46">
        <v>8</v>
      </c>
      <c r="Q22" s="8">
        <v>0.69586665205058951</v>
      </c>
      <c r="R22" s="8">
        <v>1.36439551094375</v>
      </c>
      <c r="S22" s="8">
        <v>1.2379479231448924</v>
      </c>
      <c r="T22" s="8">
        <v>-0.40627624542899843</v>
      </c>
      <c r="U22" s="8">
        <v>113.47926899134431</v>
      </c>
      <c r="V22" s="8" t="s">
        <v>289</v>
      </c>
      <c r="W22" s="8" t="s">
        <v>290</v>
      </c>
    </row>
    <row r="23" spans="3:23" x14ac:dyDescent="0.25">
      <c r="C23" s="13"/>
      <c r="D23" s="46"/>
      <c r="E23" s="8"/>
      <c r="F23" s="8"/>
      <c r="G23" s="8"/>
      <c r="H23" s="8"/>
      <c r="I23" s="8"/>
      <c r="J23" s="8"/>
      <c r="K23" s="8"/>
      <c r="O23" s="13" t="s">
        <v>275</v>
      </c>
      <c r="P23" s="46">
        <v>9</v>
      </c>
      <c r="Q23" s="8">
        <v>-0.40627624542899843</v>
      </c>
      <c r="R23" s="8">
        <v>1.0613175671042827</v>
      </c>
      <c r="S23" s="8">
        <v>-0.25247265643435612</v>
      </c>
      <c r="T23" s="8">
        <v>3.7974168676912705</v>
      </c>
      <c r="U23" s="8">
        <v>271.27918746905925</v>
      </c>
      <c r="V23" s="8" t="s">
        <v>290</v>
      </c>
      <c r="W23" s="8" t="s">
        <v>291</v>
      </c>
    </row>
    <row r="24" spans="3:23" x14ac:dyDescent="0.25">
      <c r="C24" s="13"/>
      <c r="D24" s="46"/>
      <c r="E24" s="8"/>
      <c r="F24" s="8"/>
      <c r="G24" s="8"/>
      <c r="H24" s="8"/>
      <c r="I24" s="8"/>
      <c r="J24" s="8"/>
      <c r="K24" s="8"/>
      <c r="O24" s="13" t="s">
        <v>275</v>
      </c>
      <c r="P24" s="46">
        <v>10</v>
      </c>
      <c r="Q24" s="8">
        <v>3.7974168676912705</v>
      </c>
      <c r="R24" s="8">
        <v>45.195677104646862</v>
      </c>
      <c r="S24" s="8">
        <v>45.378410008165623</v>
      </c>
      <c r="T24" s="8">
        <v>2.801443736492665</v>
      </c>
      <c r="U24" s="8">
        <v>110.69875285185647</v>
      </c>
      <c r="V24" s="8" t="s">
        <v>291</v>
      </c>
      <c r="W24" s="8" t="s">
        <v>292</v>
      </c>
    </row>
    <row r="25" spans="3:23" x14ac:dyDescent="0.25">
      <c r="C25" s="13"/>
      <c r="D25" s="46"/>
      <c r="E25" s="8"/>
      <c r="F25" s="8"/>
      <c r="G25" s="8"/>
      <c r="H25" s="8"/>
      <c r="I25" s="8"/>
      <c r="J25" s="8"/>
      <c r="K25" s="8"/>
      <c r="O25" s="13" t="s">
        <v>275</v>
      </c>
      <c r="P25" s="46">
        <v>11</v>
      </c>
      <c r="Q25" s="8">
        <v>2.801443736492665</v>
      </c>
      <c r="R25" s="8">
        <v>16.134778173675393</v>
      </c>
      <c r="S25" s="8">
        <v>17.41111064755146</v>
      </c>
      <c r="T25" s="8">
        <v>1.8747493687244354</v>
      </c>
      <c r="U25" s="8">
        <v>35.552137571948464</v>
      </c>
      <c r="V25" s="8" t="s">
        <v>292</v>
      </c>
      <c r="W25" s="8" t="s">
        <v>293</v>
      </c>
    </row>
    <row r="26" spans="3:23" x14ac:dyDescent="0.25">
      <c r="C26" s="13"/>
      <c r="D26" s="46"/>
      <c r="E26" s="8"/>
      <c r="F26" s="8"/>
      <c r="G26" s="8"/>
      <c r="H26" s="8"/>
      <c r="I26" s="8"/>
      <c r="J26" s="8"/>
      <c r="K26" s="8"/>
      <c r="O26" s="13" t="s">
        <v>275</v>
      </c>
      <c r="P26" s="46">
        <v>12</v>
      </c>
      <c r="Q26" s="8">
        <v>1.8747493687244354</v>
      </c>
      <c r="R26" s="8">
        <v>5.5650241797974598</v>
      </c>
      <c r="S26" s="8">
        <v>6.8184793769530359</v>
      </c>
      <c r="T26" s="8">
        <v>1.058581441516552</v>
      </c>
      <c r="U26" s="8">
        <v>49.430306964111423</v>
      </c>
      <c r="V26" s="8" t="s">
        <v>293</v>
      </c>
      <c r="W26" s="8" t="s">
        <v>294</v>
      </c>
    </row>
    <row r="27" spans="3:23" x14ac:dyDescent="0.25">
      <c r="C27" s="13"/>
      <c r="D27" s="46"/>
      <c r="E27" s="8"/>
      <c r="F27" s="8"/>
      <c r="G27" s="8"/>
      <c r="H27" s="8"/>
      <c r="I27" s="8"/>
      <c r="J27" s="8"/>
      <c r="K27" s="8"/>
      <c r="O27" s="13" t="s">
        <v>275</v>
      </c>
      <c r="P27" s="46">
        <v>13</v>
      </c>
      <c r="Q27" s="8">
        <v>1.058581441516552</v>
      </c>
      <c r="R27" s="8">
        <v>2.0106182947613322</v>
      </c>
      <c r="S27" s="8">
        <v>2.3921703291409799</v>
      </c>
      <c r="T27" s="8">
        <v>0.21808180389946874</v>
      </c>
      <c r="U27" s="8">
        <v>77.100154527422987</v>
      </c>
      <c r="V27" s="8" t="s">
        <v>294</v>
      </c>
      <c r="W27" s="8" t="s">
        <v>295</v>
      </c>
    </row>
    <row r="28" spans="3:23" x14ac:dyDescent="0.25">
      <c r="C28" s="13"/>
      <c r="D28" s="46"/>
      <c r="E28" s="8"/>
      <c r="F28" s="8"/>
      <c r="G28" s="8"/>
      <c r="H28" s="8"/>
      <c r="I28" s="8"/>
      <c r="J28" s="8"/>
      <c r="K28" s="8"/>
      <c r="O28" s="13" t="s">
        <v>275</v>
      </c>
      <c r="P28" s="46">
        <v>14</v>
      </c>
      <c r="Q28" s="8">
        <v>0.21808180389946874</v>
      </c>
      <c r="R28" s="8">
        <v>1.0273315419898212</v>
      </c>
      <c r="S28" s="8">
        <v>0.26737454116089931</v>
      </c>
      <c r="T28" s="8">
        <v>-3.6242119968839006</v>
      </c>
      <c r="U28" s="8">
        <v>385.40567006889597</v>
      </c>
      <c r="V28" s="8" t="s">
        <v>295</v>
      </c>
      <c r="W28" s="8" t="s">
        <v>296</v>
      </c>
    </row>
    <row r="29" spans="3:23" x14ac:dyDescent="0.25">
      <c r="C29" s="13"/>
      <c r="D29" s="46"/>
      <c r="E29" s="8"/>
      <c r="F29" s="8"/>
      <c r="G29" s="8"/>
      <c r="H29" s="8"/>
      <c r="I29" s="8"/>
      <c r="J29" s="8"/>
      <c r="K29" s="8"/>
      <c r="O29" s="13" t="s">
        <v>275</v>
      </c>
      <c r="P29" s="46">
        <v>15</v>
      </c>
      <c r="Q29" s="8">
        <v>-3.6242119968839006</v>
      </c>
      <c r="R29" s="8">
        <v>-0.43743082778035219</v>
      </c>
      <c r="S29" s="8">
        <v>0.91245242834343865</v>
      </c>
      <c r="T29" s="8">
        <v>-3.1448107544821351</v>
      </c>
      <c r="U29" s="8">
        <v>106.01735781700891</v>
      </c>
      <c r="V29" s="8" t="s">
        <v>296</v>
      </c>
      <c r="W29" s="8" t="s">
        <v>297</v>
      </c>
    </row>
    <row r="30" spans="3:23" x14ac:dyDescent="0.25">
      <c r="C30" s="13"/>
      <c r="D30" s="46"/>
      <c r="E30" s="8"/>
      <c r="F30" s="8"/>
      <c r="G30" s="8"/>
      <c r="H30" s="8"/>
      <c r="I30" s="8"/>
      <c r="J30" s="8"/>
      <c r="K30" s="8"/>
      <c r="O30" s="13" t="s">
        <v>275</v>
      </c>
      <c r="P30" s="46">
        <v>16</v>
      </c>
      <c r="Q30" s="8">
        <v>-3.1448107544821351</v>
      </c>
      <c r="R30" s="8">
        <v>3.9856979702610568E-2</v>
      </c>
      <c r="S30" s="8">
        <v>1.0430698969582122</v>
      </c>
      <c r="T30" s="8">
        <v>-3.183021980612657</v>
      </c>
      <c r="U30" s="8">
        <v>15.244200043468432</v>
      </c>
      <c r="V30" s="8" t="s">
        <v>297</v>
      </c>
      <c r="W30" s="8" t="s">
        <v>298</v>
      </c>
    </row>
    <row r="31" spans="3:23" x14ac:dyDescent="0.25">
      <c r="C31" s="13"/>
      <c r="D31" s="46"/>
      <c r="E31" s="8"/>
      <c r="F31" s="8"/>
      <c r="G31" s="8"/>
      <c r="H31" s="8"/>
      <c r="I31" s="8"/>
      <c r="J31" s="8"/>
      <c r="K31" s="8"/>
      <c r="O31" s="13" t="s">
        <v>275</v>
      </c>
      <c r="P31" s="46">
        <v>17</v>
      </c>
      <c r="Q31" s="8">
        <v>-3.183021980612657</v>
      </c>
      <c r="R31" s="8">
        <v>4.2697208796869945E-5</v>
      </c>
      <c r="S31" s="8">
        <v>1.0406021019480729</v>
      </c>
      <c r="T31" s="8">
        <v>-3.1830630118663099</v>
      </c>
      <c r="U31" s="8">
        <v>1.2004700678556766</v>
      </c>
      <c r="V31" s="8" t="s">
        <v>298</v>
      </c>
      <c r="W31" s="8" t="s">
        <v>299</v>
      </c>
    </row>
    <row r="32" spans="3:23" x14ac:dyDescent="0.25">
      <c r="C32" s="13"/>
      <c r="D32" s="46"/>
      <c r="E32" s="8"/>
      <c r="F32" s="8"/>
      <c r="G32" s="8"/>
      <c r="H32" s="8"/>
      <c r="I32" s="8"/>
      <c r="J32" s="8"/>
      <c r="K32" s="8"/>
      <c r="O32" s="13" t="s">
        <v>275</v>
      </c>
      <c r="P32" s="46">
        <v>18</v>
      </c>
      <c r="Q32" s="8">
        <v>-3.1830630118663099</v>
      </c>
      <c r="R32" s="8">
        <v>6.9775976663244421E-11</v>
      </c>
      <c r="S32" s="8">
        <v>1.0405987005680206</v>
      </c>
      <c r="T32" s="8">
        <v>-3.1830630119333634</v>
      </c>
      <c r="U32" s="8">
        <v>1.289049368485452E-3</v>
      </c>
      <c r="V32" s="8" t="s">
        <v>299</v>
      </c>
      <c r="W32" s="8" t="s">
        <v>300</v>
      </c>
    </row>
    <row r="33" spans="3:23" x14ac:dyDescent="0.25">
      <c r="C33" s="13"/>
      <c r="D33" s="46"/>
      <c r="E33" s="8"/>
      <c r="F33" s="8"/>
      <c r="G33" s="8"/>
      <c r="H33" s="8"/>
      <c r="I33" s="8"/>
      <c r="J33" s="8"/>
      <c r="K33" s="8"/>
      <c r="O33" s="13" t="s">
        <v>275</v>
      </c>
      <c r="P33" s="46">
        <v>19</v>
      </c>
      <c r="Q33" s="8">
        <v>-3.1830630119333634</v>
      </c>
      <c r="R33" s="8">
        <v>2.1510571102112408E-16</v>
      </c>
      <c r="S33" s="8">
        <v>1.0405987005624608</v>
      </c>
      <c r="T33" s="8">
        <v>-3.1830630119333634</v>
      </c>
      <c r="U33" s="8">
        <v>2.1065707349520278E-9</v>
      </c>
      <c r="V33" s="8" t="s">
        <v>300</v>
      </c>
      <c r="W33" s="8" t="s">
        <v>301</v>
      </c>
    </row>
    <row r="34" spans="3:23" x14ac:dyDescent="0.25">
      <c r="C34" s="13"/>
      <c r="D34" s="46"/>
      <c r="E34" s="8"/>
      <c r="F34" s="8"/>
      <c r="G34" s="8"/>
      <c r="H34" s="8"/>
      <c r="I34" s="8"/>
      <c r="J34" s="8"/>
      <c r="K34" s="8"/>
      <c r="O34" s="13"/>
      <c r="P34" s="46"/>
      <c r="Q34" s="8"/>
      <c r="R34" s="8"/>
      <c r="S34" s="8"/>
      <c r="T34" s="8"/>
      <c r="U34" s="8"/>
      <c r="V34" s="8"/>
      <c r="W34" s="8"/>
    </row>
    <row r="35" spans="3:23" x14ac:dyDescent="0.25">
      <c r="C35" s="13"/>
      <c r="D35" s="46"/>
      <c r="E35" s="8"/>
      <c r="F35" s="8"/>
      <c r="G35" s="8"/>
      <c r="H35" s="8"/>
      <c r="I35" s="8"/>
      <c r="J35" s="8"/>
      <c r="K35" s="8"/>
      <c r="O35" s="13"/>
      <c r="P35" s="46"/>
      <c r="Q35" s="8"/>
      <c r="R35" s="8"/>
      <c r="S35" s="8"/>
      <c r="T35" s="8"/>
      <c r="U35" s="8"/>
      <c r="V35" s="8"/>
      <c r="W35" s="8"/>
    </row>
    <row r="36" spans="3:23" x14ac:dyDescent="0.25">
      <c r="C36" s="13"/>
      <c r="D36" s="46"/>
      <c r="E36" s="8"/>
      <c r="F36" s="8"/>
      <c r="G36" s="8"/>
      <c r="H36" s="8"/>
      <c r="I36" s="8"/>
      <c r="J36" s="8"/>
      <c r="K36" s="8"/>
      <c r="O36" s="13"/>
      <c r="P36" s="46"/>
      <c r="Q36" s="8"/>
      <c r="R36" s="8"/>
      <c r="S36" s="8"/>
      <c r="T36" s="8"/>
      <c r="U36" s="8"/>
      <c r="V36" s="8"/>
      <c r="W36" s="8"/>
    </row>
    <row r="37" spans="3:23" x14ac:dyDescent="0.25">
      <c r="C37" s="13"/>
      <c r="D37" s="46"/>
      <c r="E37" s="8"/>
      <c r="F37" s="8"/>
      <c r="G37" s="8"/>
      <c r="H37" s="8"/>
      <c r="I37" s="8"/>
      <c r="J37" s="8"/>
      <c r="K37" s="8"/>
      <c r="O37" s="13"/>
      <c r="P37" s="46"/>
      <c r="Q37" s="8"/>
      <c r="R37" s="8"/>
      <c r="S37" s="8"/>
      <c r="T37" s="8"/>
      <c r="U37" s="8"/>
      <c r="V37" s="8"/>
      <c r="W37" s="8"/>
    </row>
    <row r="38" spans="3:23" x14ac:dyDescent="0.25">
      <c r="C38" s="13"/>
      <c r="D38" s="46"/>
      <c r="E38" s="8"/>
      <c r="F38" s="8"/>
      <c r="G38" s="8"/>
      <c r="H38" s="8"/>
      <c r="I38" s="8"/>
      <c r="J38" s="8"/>
      <c r="K38" s="8"/>
      <c r="O38" s="13"/>
      <c r="P38" s="46"/>
      <c r="Q38" s="8"/>
      <c r="R38" s="8"/>
      <c r="S38" s="8"/>
      <c r="T38" s="8"/>
      <c r="U38" s="8"/>
      <c r="V38" s="8"/>
      <c r="W38" s="8"/>
    </row>
    <row r="39" spans="3:23" x14ac:dyDescent="0.25">
      <c r="C39" s="13"/>
      <c r="D39" s="46"/>
      <c r="E39" s="8"/>
      <c r="F39" s="8"/>
      <c r="G39" s="8"/>
      <c r="H39" s="8"/>
      <c r="I39" s="8"/>
      <c r="J39" s="8"/>
      <c r="K39" s="8"/>
      <c r="O39" s="13"/>
      <c r="P39" s="46"/>
      <c r="Q39" s="8"/>
      <c r="R39" s="8"/>
      <c r="S39" s="8"/>
      <c r="T39" s="8"/>
      <c r="U39" s="8"/>
      <c r="V39" s="8"/>
      <c r="W39" s="8"/>
    </row>
    <row r="40" spans="3:23" x14ac:dyDescent="0.25">
      <c r="C40" s="13"/>
      <c r="D40" s="46"/>
      <c r="E40" s="8"/>
      <c r="F40" s="8"/>
      <c r="G40" s="8"/>
      <c r="H40" s="8"/>
      <c r="I40" s="8"/>
      <c r="J40" s="8"/>
      <c r="K40" s="8"/>
      <c r="O40" s="13"/>
      <c r="P40" s="46"/>
      <c r="Q40" s="8"/>
      <c r="R40" s="8"/>
      <c r="S40" s="8"/>
      <c r="T40" s="8"/>
      <c r="U40" s="8"/>
      <c r="V40" s="8"/>
      <c r="W40" s="8"/>
    </row>
    <row r="41" spans="3:23" x14ac:dyDescent="0.25">
      <c r="C41" s="13"/>
      <c r="D41" s="46"/>
      <c r="E41" s="8"/>
      <c r="F41" s="8"/>
      <c r="G41" s="8"/>
      <c r="H41" s="8"/>
      <c r="I41" s="8"/>
      <c r="J41" s="8"/>
      <c r="K41" s="8"/>
      <c r="O41" s="13"/>
      <c r="P41" s="46"/>
      <c r="Q41" s="8"/>
      <c r="R41" s="8"/>
      <c r="S41" s="8"/>
      <c r="T41" s="8"/>
      <c r="U41" s="8"/>
      <c r="V41" s="8"/>
      <c r="W41" s="8"/>
    </row>
    <row r="42" spans="3:23" x14ac:dyDescent="0.25">
      <c r="C42" s="13"/>
      <c r="D42" s="46"/>
      <c r="E42" s="8"/>
      <c r="F42" s="8"/>
      <c r="G42" s="8"/>
      <c r="H42" s="8"/>
      <c r="I42" s="8"/>
      <c r="J42" s="8"/>
      <c r="K42" s="8"/>
      <c r="O42" s="13"/>
      <c r="P42" s="46"/>
      <c r="Q42" s="8"/>
      <c r="R42" s="8"/>
      <c r="S42" s="8"/>
      <c r="T42" s="8"/>
      <c r="U42" s="8"/>
      <c r="V42" s="8"/>
      <c r="W42" s="8"/>
    </row>
    <row r="43" spans="3:23" x14ac:dyDescent="0.25">
      <c r="C43" s="13"/>
      <c r="D43" s="46"/>
      <c r="E43" s="8"/>
      <c r="F43" s="8"/>
      <c r="G43" s="8"/>
      <c r="H43" s="8"/>
      <c r="I43" s="8"/>
      <c r="J43" s="8"/>
      <c r="K43" s="8"/>
      <c r="O43" s="13"/>
      <c r="P43" s="46"/>
      <c r="Q43" s="8"/>
      <c r="R43" s="8"/>
      <c r="S43" s="8"/>
      <c r="T43" s="8"/>
      <c r="U43" s="8"/>
      <c r="V43" s="8"/>
      <c r="W43" s="8"/>
    </row>
    <row r="44" spans="3:23" x14ac:dyDescent="0.25">
      <c r="C44" s="13"/>
      <c r="D44" s="46"/>
      <c r="E44" s="8"/>
      <c r="F44" s="8"/>
      <c r="G44" s="8"/>
      <c r="H44" s="8"/>
      <c r="I44" s="8"/>
      <c r="J44" s="8"/>
      <c r="K44" s="8"/>
      <c r="O44" s="13"/>
      <c r="P44" s="46"/>
      <c r="Q44" s="8"/>
      <c r="R44" s="8"/>
      <c r="S44" s="8"/>
      <c r="T44" s="8"/>
      <c r="U44" s="8"/>
      <c r="V44" s="8"/>
      <c r="W44" s="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Assignment_6c">
                <anchor moveWithCells="1" sizeWithCells="1">
                  <from>
                    <xdr:col>1</xdr:col>
                    <xdr:colOff>457200</xdr:colOff>
                    <xdr:row>11</xdr:row>
                    <xdr:rowOff>142875</xdr:rowOff>
                  </from>
                  <to>
                    <xdr:col>7</xdr:col>
                    <xdr:colOff>152400</xdr:colOff>
                    <xdr:row>11</xdr:row>
                    <xdr:rowOff>609600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B70580-24A6-4706-B074-1E09CF5FCB71}">
  <dimension ref="A1:K53"/>
  <sheetViews>
    <sheetView zoomScale="85" zoomScaleNormal="85" workbookViewId="0">
      <selection activeCell="O20" sqref="O20"/>
    </sheetView>
  </sheetViews>
  <sheetFormatPr defaultRowHeight="15" x14ac:dyDescent="0.25"/>
  <cols>
    <col min="1" max="1" width="6" customWidth="1"/>
    <col min="2" max="2" width="19.85546875" customWidth="1"/>
    <col min="3" max="3" width="18.7109375" customWidth="1"/>
    <col min="4" max="4" width="25.42578125" customWidth="1"/>
    <col min="5" max="5" width="23.140625" customWidth="1"/>
    <col min="6" max="8" width="18.5703125" customWidth="1"/>
    <col min="9" max="9" width="23.7109375" customWidth="1"/>
    <col min="12" max="12" width="25" customWidth="1"/>
  </cols>
  <sheetData>
    <row r="1" spans="1:11" x14ac:dyDescent="0.25">
      <c r="A1" t="s">
        <v>405</v>
      </c>
    </row>
    <row r="2" spans="1:11" x14ac:dyDescent="0.25">
      <c r="A2" t="s">
        <v>408</v>
      </c>
    </row>
    <row r="3" spans="1:11" x14ac:dyDescent="0.25">
      <c r="A3" t="s">
        <v>409</v>
      </c>
    </row>
    <row r="4" spans="1:11" x14ac:dyDescent="0.25">
      <c r="A4" t="s">
        <v>410</v>
      </c>
    </row>
    <row r="5" spans="1:11" x14ac:dyDescent="0.25">
      <c r="A5" t="s">
        <v>411</v>
      </c>
    </row>
    <row r="6" spans="1:11" ht="74.25" customHeight="1" x14ac:dyDescent="0.25">
      <c r="A6" s="11" t="s">
        <v>412</v>
      </c>
    </row>
    <row r="7" spans="1:11" ht="48.75" customHeight="1" x14ac:dyDescent="0.25">
      <c r="A7" s="44" t="s">
        <v>413</v>
      </c>
      <c r="H7" s="11" t="s">
        <v>415</v>
      </c>
    </row>
    <row r="9" spans="1:11" x14ac:dyDescent="0.25">
      <c r="A9" t="s">
        <v>414</v>
      </c>
    </row>
    <row r="10" spans="1:11" ht="27.75" customHeight="1" x14ac:dyDescent="0.25">
      <c r="A10" s="8"/>
      <c r="B10" s="8"/>
      <c r="C10" s="8"/>
      <c r="D10" s="8"/>
      <c r="E10" s="8"/>
      <c r="F10" s="32" t="s">
        <v>406</v>
      </c>
      <c r="G10" s="32" t="s">
        <v>407</v>
      </c>
      <c r="H10" s="8"/>
      <c r="I10" s="8"/>
      <c r="J10" s="58" t="s">
        <v>279</v>
      </c>
      <c r="K10" s="58" t="s">
        <v>280</v>
      </c>
    </row>
    <row r="11" spans="1:11" x14ac:dyDescent="0.25">
      <c r="A11" s="8">
        <v>0</v>
      </c>
      <c r="B11" s="59">
        <v>2</v>
      </c>
      <c r="C11" s="59">
        <v>4</v>
      </c>
      <c r="D11" s="59">
        <f>TAN(B11)-SIN(B11)-2.75</f>
        <v>-5.8443372900872008</v>
      </c>
      <c r="E11" s="59">
        <f>TAN(C11)-SIN(C11)-2.75</f>
        <v>-0.83537622234249431</v>
      </c>
      <c r="F11" s="59">
        <f>D11*(B11-C11)</f>
        <v>11.688674580174402</v>
      </c>
      <c r="G11" s="59">
        <f>D11-E11</f>
        <v>-5.008961067744707</v>
      </c>
      <c r="H11" s="59">
        <f>B11-(F11/G11)</f>
        <v>4.3335526912843916</v>
      </c>
      <c r="I11" s="59"/>
      <c r="J11" s="32"/>
      <c r="K11" s="32"/>
    </row>
    <row r="12" spans="1:11" x14ac:dyDescent="0.25">
      <c r="A12" s="8">
        <v>1</v>
      </c>
      <c r="B12" s="59">
        <f>H11</f>
        <v>4.3335526912843916</v>
      </c>
      <c r="C12" s="59">
        <f>B11</f>
        <v>2</v>
      </c>
      <c r="D12" s="59">
        <f t="shared" ref="D12:D18" si="0">TAN(B12)-SIN(B12)-2.75</f>
        <v>0.6912545664025207</v>
      </c>
      <c r="E12" s="59">
        <f t="shared" ref="E12:E18" si="1">TAN(C12)-SIN(C12)-2.75</f>
        <v>-5.8443372900872008</v>
      </c>
      <c r="F12" s="59">
        <f>D12*(B12-C12)</f>
        <v>1.6130789537912273</v>
      </c>
      <c r="G12" s="59">
        <f>D12-E12</f>
        <v>6.535591856489722</v>
      </c>
      <c r="H12" s="59">
        <f>B12-(F12/G12)</f>
        <v>4.0867381733016828</v>
      </c>
      <c r="I12" s="59">
        <f>ABS((B12-C12)/B12)*100</f>
        <v>53.848490084766134</v>
      </c>
      <c r="J12" s="32" t="s">
        <v>281</v>
      </c>
      <c r="K12" s="32" t="s">
        <v>285</v>
      </c>
    </row>
    <row r="13" spans="1:11" x14ac:dyDescent="0.25">
      <c r="A13" s="8">
        <v>2</v>
      </c>
      <c r="B13" s="59">
        <f t="shared" ref="B13:B18" si="2">H12</f>
        <v>4.0867381733016828</v>
      </c>
      <c r="C13" s="59">
        <f t="shared" ref="C13:C18" si="3">B12</f>
        <v>4.3335526912843916</v>
      </c>
      <c r="D13" s="59">
        <f t="shared" si="0"/>
        <v>-0.55528591045008557</v>
      </c>
      <c r="E13" s="59">
        <f t="shared" si="1"/>
        <v>0.6912545664025207</v>
      </c>
      <c r="F13" s="59">
        <f t="shared" ref="F13:F18" si="4">D13*(B13-C13)</f>
        <v>0.13705262433032747</v>
      </c>
      <c r="G13" s="59">
        <f t="shared" ref="G13:G18" si="5">D13-E13</f>
        <v>-1.2465404768526063</v>
      </c>
      <c r="H13" s="59">
        <f t="shared" ref="H13:H18" si="6">B13-(F13/G13)</f>
        <v>4.1966845624284703</v>
      </c>
      <c r="I13" s="59">
        <f t="shared" ref="I13:I18" si="7">ABS((B13-C13)/B13)*100</f>
        <v>6.0394012906216341</v>
      </c>
      <c r="J13" s="32" t="s">
        <v>285</v>
      </c>
      <c r="K13" s="32" t="s">
        <v>286</v>
      </c>
    </row>
    <row r="14" spans="1:11" x14ac:dyDescent="0.25">
      <c r="A14" s="8">
        <v>3</v>
      </c>
      <c r="B14" s="59">
        <f t="shared" si="2"/>
        <v>4.1966845624284703</v>
      </c>
      <c r="C14" s="59">
        <f t="shared" si="3"/>
        <v>4.0867381733016828</v>
      </c>
      <c r="D14" s="59">
        <f t="shared" si="0"/>
        <v>-0.11598777415662509</v>
      </c>
      <c r="E14" s="59">
        <f t="shared" si="1"/>
        <v>-0.55528591045008557</v>
      </c>
      <c r="F14" s="59">
        <f t="shared" si="4"/>
        <v>-1.2752436951374256E-2</v>
      </c>
      <c r="G14" s="59">
        <f t="shared" si="5"/>
        <v>0.43929813629346048</v>
      </c>
      <c r="H14" s="59">
        <f t="shared" si="6"/>
        <v>4.225713679326101</v>
      </c>
      <c r="I14" s="59">
        <f t="shared" si="7"/>
        <v>2.6198392443192238</v>
      </c>
      <c r="J14" s="32" t="s">
        <v>286</v>
      </c>
      <c r="K14" s="32" t="s">
        <v>287</v>
      </c>
    </row>
    <row r="15" spans="1:11" x14ac:dyDescent="0.25">
      <c r="A15" s="8">
        <v>4</v>
      </c>
      <c r="B15" s="59">
        <f t="shared" si="2"/>
        <v>4.225713679326101</v>
      </c>
      <c r="C15" s="59">
        <f t="shared" si="3"/>
        <v>4.1966845624284703</v>
      </c>
      <c r="D15" s="59">
        <f t="shared" si="0"/>
        <v>2.380488395137359E-2</v>
      </c>
      <c r="E15" s="59">
        <f t="shared" si="1"/>
        <v>-0.11598777415662509</v>
      </c>
      <c r="F15" s="59">
        <f t="shared" si="4"/>
        <v>6.91034758958956E-4</v>
      </c>
      <c r="G15" s="59">
        <f t="shared" si="5"/>
        <v>0.13979265810799868</v>
      </c>
      <c r="H15" s="59">
        <f t="shared" si="6"/>
        <v>4.2207703956922416</v>
      </c>
      <c r="I15" s="59">
        <f t="shared" si="7"/>
        <v>0.68696364923285813</v>
      </c>
      <c r="J15" s="32" t="s">
        <v>287</v>
      </c>
      <c r="K15" s="32" t="s">
        <v>282</v>
      </c>
    </row>
    <row r="16" spans="1:11" x14ac:dyDescent="0.25">
      <c r="A16" s="8">
        <v>5</v>
      </c>
      <c r="B16" s="59">
        <f t="shared" si="2"/>
        <v>4.2207703956922416</v>
      </c>
      <c r="C16" s="59">
        <f t="shared" si="3"/>
        <v>4.225713679326101</v>
      </c>
      <c r="D16" s="59">
        <f t="shared" si="0"/>
        <v>-9.0837775007823751E-4</v>
      </c>
      <c r="E16" s="59">
        <f t="shared" si="1"/>
        <v>2.380488395137359E-2</v>
      </c>
      <c r="F16" s="59">
        <f t="shared" si="4"/>
        <v>4.4903688653238032E-6</v>
      </c>
      <c r="G16" s="59">
        <f t="shared" si="5"/>
        <v>-2.4713261701451827E-2</v>
      </c>
      <c r="H16" s="59">
        <f t="shared" si="6"/>
        <v>4.2209520944465204</v>
      </c>
      <c r="I16" s="59">
        <f t="shared" si="7"/>
        <v>0.1171180417419671</v>
      </c>
      <c r="J16" s="32" t="s">
        <v>282</v>
      </c>
      <c r="K16" s="32" t="s">
        <v>288</v>
      </c>
    </row>
    <row r="17" spans="1:11" x14ac:dyDescent="0.25">
      <c r="A17" s="8">
        <v>6</v>
      </c>
      <c r="B17" s="59">
        <f t="shared" si="2"/>
        <v>4.2209520944465204</v>
      </c>
      <c r="C17" s="59">
        <f t="shared" si="3"/>
        <v>4.2207703956922416</v>
      </c>
      <c r="D17" s="59">
        <f t="shared" si="0"/>
        <v>-6.9459142206795832E-6</v>
      </c>
      <c r="E17" s="59">
        <f t="shared" si="1"/>
        <v>-9.0837775007823751E-4</v>
      </c>
      <c r="F17" s="59">
        <f t="shared" si="4"/>
        <v>-1.2620639612253648E-9</v>
      </c>
      <c r="G17" s="59">
        <f t="shared" si="5"/>
        <v>9.0143183585755793E-4</v>
      </c>
      <c r="H17" s="59">
        <f t="shared" si="6"/>
        <v>4.2209534945124059</v>
      </c>
      <c r="I17" s="59">
        <f t="shared" si="7"/>
        <v>4.3046864833630634E-3</v>
      </c>
      <c r="J17" s="32" t="s">
        <v>288</v>
      </c>
      <c r="K17" s="32" t="s">
        <v>284</v>
      </c>
    </row>
    <row r="18" spans="1:11" x14ac:dyDescent="0.25">
      <c r="A18" s="8">
        <v>7</v>
      </c>
      <c r="B18" s="59">
        <f>H17</f>
        <v>4.2209534945124059</v>
      </c>
      <c r="C18" s="59">
        <f>B17</f>
        <v>4.2209520944465204</v>
      </c>
      <c r="D18" s="59">
        <f>TAN(B18)-SIN(B18)-2.75</f>
        <v>2.037014112943325E-9</v>
      </c>
      <c r="E18" s="59">
        <f>TAN(C18)-SIN(C18)-2.75</f>
        <v>-6.9459142206795832E-6</v>
      </c>
      <c r="F18" s="59">
        <f>D18*(B18-C18)</f>
        <v>2.8519539677090834E-15</v>
      </c>
      <c r="G18" s="59">
        <f>D18-E18</f>
        <v>6.9479512347925265E-6</v>
      </c>
      <c r="H18" s="59">
        <f>B18-(F18/G18)</f>
        <v>4.2209534941019315</v>
      </c>
      <c r="I18" s="59">
        <f>ABS((B18-C18)/B18)*100</f>
        <v>3.3169422199716283E-5</v>
      </c>
      <c r="J18" s="32" t="s">
        <v>284</v>
      </c>
      <c r="K18" s="32" t="s">
        <v>289</v>
      </c>
    </row>
    <row r="19" spans="1:11" x14ac:dyDescent="0.25">
      <c r="A19" s="64"/>
      <c r="B19" s="65" t="s">
        <v>428</v>
      </c>
      <c r="C19" s="65" t="s">
        <v>429</v>
      </c>
      <c r="D19" s="65" t="s">
        <v>430</v>
      </c>
      <c r="E19" s="65" t="s">
        <v>431</v>
      </c>
      <c r="F19" s="65" t="s">
        <v>432</v>
      </c>
      <c r="G19" s="65" t="s">
        <v>433</v>
      </c>
      <c r="H19" s="65" t="s">
        <v>434</v>
      </c>
      <c r="I19" s="65" t="s">
        <v>435</v>
      </c>
      <c r="J19" s="66" t="s">
        <v>436</v>
      </c>
      <c r="K19" s="67"/>
    </row>
    <row r="20" spans="1:11" ht="266.25" customHeight="1" x14ac:dyDescent="0.25">
      <c r="A20" s="61" t="s">
        <v>416</v>
      </c>
    </row>
    <row r="21" spans="1:11" x14ac:dyDescent="0.25">
      <c r="A21" t="s">
        <v>417</v>
      </c>
    </row>
    <row r="22" spans="1:11" ht="27" customHeight="1" x14ac:dyDescent="0.25">
      <c r="A22" s="8"/>
      <c r="B22" s="8"/>
      <c r="C22" s="8"/>
      <c r="D22" s="8"/>
      <c r="E22" s="8"/>
      <c r="F22" s="32" t="s">
        <v>406</v>
      </c>
      <c r="G22" s="32" t="s">
        <v>407</v>
      </c>
      <c r="H22" s="8"/>
      <c r="I22" s="8"/>
      <c r="J22" s="58" t="s">
        <v>279</v>
      </c>
      <c r="K22" s="58" t="s">
        <v>280</v>
      </c>
    </row>
    <row r="23" spans="1:11" x14ac:dyDescent="0.25">
      <c r="A23" s="8">
        <v>0</v>
      </c>
      <c r="B23" s="59">
        <v>1</v>
      </c>
      <c r="C23" s="59">
        <v>1.5</v>
      </c>
      <c r="D23" s="59">
        <f>TAN(B23)-SIN(B23)-2.75</f>
        <v>-2.034063260152994</v>
      </c>
      <c r="E23" s="59">
        <f>TAN(C23)-SIN(C23)-2.75</f>
        <v>10.353924960567664</v>
      </c>
      <c r="F23" s="59">
        <f>D23*(B23-C23)</f>
        <v>1.017031630076497</v>
      </c>
      <c r="G23" s="59">
        <f>D23-E23</f>
        <v>-12.387988220720658</v>
      </c>
      <c r="H23" s="59">
        <f>B23-(F23/G23)</f>
        <v>1.0820982077118355</v>
      </c>
      <c r="I23" s="59"/>
      <c r="J23" s="32"/>
      <c r="K23" s="32"/>
    </row>
    <row r="24" spans="1:11" x14ac:dyDescent="0.25">
      <c r="A24" s="8">
        <v>1</v>
      </c>
      <c r="B24" s="59">
        <f>H23</f>
        <v>1.0820982077118355</v>
      </c>
      <c r="C24" s="59">
        <f>B23</f>
        <v>1</v>
      </c>
      <c r="D24" s="59">
        <f t="shared" ref="D24:D35" si="8">TAN(B24)-SIN(B24)-2.75</f>
        <v>-1.7522452424225525</v>
      </c>
      <c r="E24" s="59">
        <f t="shared" ref="E24:E35" si="9">TAN(C24)-SIN(C24)-2.75</f>
        <v>-2.034063260152994</v>
      </c>
      <c r="F24" s="59">
        <f>D24*(B24-C24)</f>
        <v>-0.14385619387448229</v>
      </c>
      <c r="G24" s="59">
        <f>D24-E24</f>
        <v>0.28181801773044146</v>
      </c>
      <c r="H24" s="59">
        <f>B24-(F24/G24)</f>
        <v>1.5925559670595026</v>
      </c>
      <c r="I24" s="59">
        <f>ABS((B24-C24)/B24)*100</f>
        <v>7.5869460947946044</v>
      </c>
      <c r="J24" s="32" t="s">
        <v>281</v>
      </c>
      <c r="K24" s="32" t="s">
        <v>285</v>
      </c>
    </row>
    <row r="25" spans="1:11" x14ac:dyDescent="0.25">
      <c r="A25" s="8">
        <v>2</v>
      </c>
      <c r="B25" s="59">
        <f t="shared" ref="B25:B35" si="10">H24</f>
        <v>1.5925559670595026</v>
      </c>
      <c r="C25" s="59">
        <f t="shared" ref="C25:C48" si="11">B24</f>
        <v>1.0820982077118355</v>
      </c>
      <c r="D25" s="59">
        <f t="shared" si="8"/>
        <v>-49.699151932178509</v>
      </c>
      <c r="E25" s="59">
        <f t="shared" si="9"/>
        <v>-1.7522452424225525</v>
      </c>
      <c r="F25" s="59">
        <f t="shared" ref="F25:F35" si="12">D25*(B25-C25)</f>
        <v>-25.369317736779124</v>
      </c>
      <c r="G25" s="59">
        <f t="shared" ref="G25:G35" si="13">D25-E25</f>
        <v>-47.946906689755956</v>
      </c>
      <c r="H25" s="59">
        <f t="shared" ref="H25:H35" si="14">B25-(F25/G25)</f>
        <v>1.0634432570168468</v>
      </c>
      <c r="I25" s="59">
        <f t="shared" ref="I25:I33" si="15">ABS((B25-C25)/B25)*100</f>
        <v>32.05273597324036</v>
      </c>
      <c r="J25" s="32" t="s">
        <v>285</v>
      </c>
      <c r="K25" s="32" t="s">
        <v>286</v>
      </c>
    </row>
    <row r="26" spans="1:11" x14ac:dyDescent="0.25">
      <c r="A26" s="8">
        <v>3</v>
      </c>
      <c r="B26" s="59">
        <f t="shared" si="10"/>
        <v>1.0634432570168468</v>
      </c>
      <c r="C26" s="59">
        <f t="shared" si="11"/>
        <v>1.5925559670595026</v>
      </c>
      <c r="D26" s="59">
        <f t="shared" si="8"/>
        <v>-1.8251124828231924</v>
      </c>
      <c r="E26" s="59">
        <f t="shared" si="9"/>
        <v>-49.699151932178509</v>
      </c>
      <c r="F26" s="59">
        <f t="shared" si="12"/>
        <v>0.96569021191925941</v>
      </c>
      <c r="G26" s="59">
        <f t="shared" si="13"/>
        <v>47.874039449355315</v>
      </c>
      <c r="H26" s="59">
        <f t="shared" si="14"/>
        <v>1.043271777379311</v>
      </c>
      <c r="I26" s="59">
        <f t="shared" si="15"/>
        <v>49.754672527325425</v>
      </c>
      <c r="J26" s="32" t="s">
        <v>286</v>
      </c>
      <c r="K26" s="32" t="s">
        <v>287</v>
      </c>
    </row>
    <row r="27" spans="1:11" x14ac:dyDescent="0.25">
      <c r="A27" s="8">
        <v>4</v>
      </c>
      <c r="B27" s="59">
        <f t="shared" si="10"/>
        <v>1.043271777379311</v>
      </c>
      <c r="C27" s="59">
        <f t="shared" si="11"/>
        <v>1.0634432570168468</v>
      </c>
      <c r="D27" s="59">
        <f t="shared" si="8"/>
        <v>-1.8976021614902145</v>
      </c>
      <c r="E27" s="59">
        <f t="shared" si="9"/>
        <v>-1.8251124828231924</v>
      </c>
      <c r="F27" s="59">
        <f t="shared" si="12"/>
        <v>3.8277443360643877E-2</v>
      </c>
      <c r="G27" s="59">
        <f t="shared" si="13"/>
        <v>-7.2489678667022162E-2</v>
      </c>
      <c r="H27" s="59">
        <f t="shared" si="14"/>
        <v>1.5713116868465535</v>
      </c>
      <c r="I27" s="59">
        <f t="shared" si="15"/>
        <v>1.9334827295152581</v>
      </c>
      <c r="J27" s="32" t="s">
        <v>287</v>
      </c>
      <c r="K27" s="32" t="s">
        <v>282</v>
      </c>
    </row>
    <row r="28" spans="1:11" x14ac:dyDescent="0.25">
      <c r="A28" s="8">
        <v>5</v>
      </c>
      <c r="B28" s="59">
        <f t="shared" si="10"/>
        <v>1.5713116868465535</v>
      </c>
      <c r="C28" s="59">
        <f t="shared" si="11"/>
        <v>1.043271777379311</v>
      </c>
      <c r="D28" s="59">
        <f t="shared" si="8"/>
        <v>-1944.1408164486202</v>
      </c>
      <c r="E28" s="59">
        <f t="shared" si="9"/>
        <v>-1.8976021614902145</v>
      </c>
      <c r="F28" s="59">
        <f t="shared" si="12"/>
        <v>-1026.5839407091005</v>
      </c>
      <c r="G28" s="59">
        <f t="shared" si="13"/>
        <v>-1942.2432142871301</v>
      </c>
      <c r="H28" s="59">
        <f t="shared" si="14"/>
        <v>1.0427558740845086</v>
      </c>
      <c r="I28" s="59">
        <f t="shared" si="15"/>
        <v>33.605039273077608</v>
      </c>
      <c r="J28" s="32" t="s">
        <v>282</v>
      </c>
      <c r="K28" s="32" t="s">
        <v>288</v>
      </c>
    </row>
    <row r="29" spans="1:11" x14ac:dyDescent="0.25">
      <c r="A29" s="8">
        <v>6</v>
      </c>
      <c r="B29" s="59">
        <f t="shared" si="10"/>
        <v>1.0427558740845086</v>
      </c>
      <c r="C29" s="59">
        <f t="shared" si="11"/>
        <v>1.5713116868465535</v>
      </c>
      <c r="D29" s="59">
        <f t="shared" si="8"/>
        <v>-1.8993764062722591</v>
      </c>
      <c r="E29" s="59">
        <f t="shared" si="9"/>
        <v>-1944.1408164486202</v>
      </c>
      <c r="F29" s="59">
        <f t="shared" si="12"/>
        <v>1.0039264401582859</v>
      </c>
      <c r="G29" s="59">
        <f t="shared" si="13"/>
        <v>1942.2414400423479</v>
      </c>
      <c r="H29" s="59">
        <f t="shared" si="14"/>
        <v>1.0422389834346333</v>
      </c>
      <c r="I29" s="59">
        <f t="shared" si="15"/>
        <v>50.688356296826655</v>
      </c>
      <c r="J29" s="32" t="s">
        <v>288</v>
      </c>
      <c r="K29" s="32" t="s">
        <v>284</v>
      </c>
    </row>
    <row r="30" spans="1:11" x14ac:dyDescent="0.25">
      <c r="A30" s="8">
        <v>7</v>
      </c>
      <c r="B30" s="59">
        <f t="shared" si="10"/>
        <v>1.0422389834346333</v>
      </c>
      <c r="C30" s="59">
        <f t="shared" si="11"/>
        <v>1.0427558740845086</v>
      </c>
      <c r="D30" s="59">
        <f t="shared" si="8"/>
        <v>-1.9011502108093605</v>
      </c>
      <c r="E30" s="59">
        <f t="shared" si="9"/>
        <v>-1.8993764062722591</v>
      </c>
      <c r="F30" s="59">
        <f t="shared" si="12"/>
        <v>9.826867679759428E-4</v>
      </c>
      <c r="G30" s="59">
        <f t="shared" si="13"/>
        <v>-1.7738045371014088E-3</v>
      </c>
      <c r="H30" s="59">
        <f t="shared" si="14"/>
        <v>1.5962384503554703</v>
      </c>
      <c r="I30" s="59">
        <f t="shared" si="15"/>
        <v>4.9594254109742379E-2</v>
      </c>
      <c r="J30" s="32" t="s">
        <v>284</v>
      </c>
      <c r="K30" s="32" t="s">
        <v>289</v>
      </c>
    </row>
    <row r="31" spans="1:11" x14ac:dyDescent="0.25">
      <c r="A31" s="8">
        <v>8</v>
      </c>
      <c r="B31" s="59">
        <f t="shared" si="10"/>
        <v>1.5962384503554703</v>
      </c>
      <c r="C31" s="59">
        <f t="shared" si="11"/>
        <v>1.0422389834346333</v>
      </c>
      <c r="D31" s="59">
        <f t="shared" si="8"/>
        <v>-43.046090484381111</v>
      </c>
      <c r="E31" s="59">
        <f t="shared" si="9"/>
        <v>-1.9011502108093605</v>
      </c>
      <c r="F31" s="59">
        <f t="shared" si="12"/>
        <v>-23.84751118137325</v>
      </c>
      <c r="G31" s="59">
        <f t="shared" si="13"/>
        <v>-41.144940273571748</v>
      </c>
      <c r="H31" s="59">
        <f t="shared" si="14"/>
        <v>1.0166407884604305</v>
      </c>
      <c r="I31" s="59">
        <f t="shared" si="15"/>
        <v>34.706560714501364</v>
      </c>
      <c r="J31" s="32" t="s">
        <v>289</v>
      </c>
      <c r="K31" s="32" t="s">
        <v>290</v>
      </c>
    </row>
    <row r="32" spans="1:11" x14ac:dyDescent="0.25">
      <c r="A32" s="8">
        <v>9</v>
      </c>
      <c r="B32" s="59">
        <f t="shared" si="10"/>
        <v>1.0166407884604305</v>
      </c>
      <c r="C32" s="59">
        <f t="shared" si="11"/>
        <v>1.5962384503554703</v>
      </c>
      <c r="D32" s="59">
        <f t="shared" si="8"/>
        <v>-1.9844118835602191</v>
      </c>
      <c r="E32" s="59">
        <f t="shared" si="9"/>
        <v>-43.046090484381111</v>
      </c>
      <c r="F32" s="59">
        <f t="shared" si="12"/>
        <v>1.150160487948235</v>
      </c>
      <c r="G32" s="59">
        <f t="shared" si="13"/>
        <v>41.06167860082089</v>
      </c>
      <c r="H32" s="59">
        <f t="shared" si="14"/>
        <v>0.98863023148516738</v>
      </c>
      <c r="I32" s="59">
        <f t="shared" si="15"/>
        <v>57.011057245968331</v>
      </c>
      <c r="J32" s="32" t="s">
        <v>290</v>
      </c>
      <c r="K32" s="32" t="s">
        <v>291</v>
      </c>
    </row>
    <row r="33" spans="1:11" x14ac:dyDescent="0.25">
      <c r="A33" s="8">
        <v>10</v>
      </c>
      <c r="B33" s="59">
        <f t="shared" si="10"/>
        <v>0.98863023148516738</v>
      </c>
      <c r="C33" s="59">
        <f t="shared" si="11"/>
        <v>1.0166407884604305</v>
      </c>
      <c r="D33" s="59">
        <f t="shared" si="8"/>
        <v>-2.0661372127034823</v>
      </c>
      <c r="E33" s="59">
        <f t="shared" si="9"/>
        <v>-1.9844118835602191</v>
      </c>
      <c r="F33" s="59">
        <f t="shared" si="12"/>
        <v>5.7873654115142212E-2</v>
      </c>
      <c r="G33" s="59">
        <f t="shared" si="13"/>
        <v>-8.1725329143263137E-2</v>
      </c>
      <c r="H33" s="59">
        <f t="shared" si="14"/>
        <v>1.6967785463569331</v>
      </c>
      <c r="I33" s="59">
        <f t="shared" si="15"/>
        <v>2.8332693137639864</v>
      </c>
      <c r="J33" s="32" t="s">
        <v>291</v>
      </c>
      <c r="K33" s="32" t="s">
        <v>292</v>
      </c>
    </row>
    <row r="34" spans="1:11" x14ac:dyDescent="0.25">
      <c r="A34" s="8">
        <v>11</v>
      </c>
      <c r="B34" s="59">
        <f t="shared" si="10"/>
        <v>1.6967785463569331</v>
      </c>
      <c r="C34" s="59">
        <f t="shared" si="11"/>
        <v>0.98863023148516738</v>
      </c>
      <c r="D34" s="59">
        <f t="shared" si="8"/>
        <v>-11.637664207842182</v>
      </c>
      <c r="E34" s="59">
        <f t="shared" si="9"/>
        <v>-2.0661372127034823</v>
      </c>
      <c r="F34" s="59">
        <f t="shared" si="12"/>
        <v>-8.2411922978269043</v>
      </c>
      <c r="G34" s="59">
        <f t="shared" si="13"/>
        <v>-9.571526995138699</v>
      </c>
      <c r="H34" s="59">
        <f t="shared" si="14"/>
        <v>0.83576730938162724</v>
      </c>
      <c r="I34" s="59">
        <f t="shared" ref="I34:I35" si="16">ABS((B34-C34)/B34)</f>
        <v>0.41734869667712088</v>
      </c>
      <c r="J34" s="32" t="s">
        <v>292</v>
      </c>
      <c r="K34" s="32" t="s">
        <v>293</v>
      </c>
    </row>
    <row r="35" spans="1:11" x14ac:dyDescent="0.25">
      <c r="A35" s="8">
        <v>12</v>
      </c>
      <c r="B35" s="59">
        <f t="shared" si="10"/>
        <v>0.83576730938162724</v>
      </c>
      <c r="C35" s="59">
        <f t="shared" si="11"/>
        <v>1.6967785463569331</v>
      </c>
      <c r="D35" s="59">
        <f t="shared" si="8"/>
        <v>-2.3856351964629505</v>
      </c>
      <c r="E35" s="59">
        <f t="shared" si="9"/>
        <v>-11.637664207842182</v>
      </c>
      <c r="F35" s="59">
        <f t="shared" si="12"/>
        <v>2.0540587114783921</v>
      </c>
      <c r="G35" s="59">
        <f t="shared" si="13"/>
        <v>9.2520290113792321</v>
      </c>
      <c r="H35" s="59">
        <f t="shared" si="14"/>
        <v>0.61375560698077336</v>
      </c>
      <c r="I35" s="59">
        <f t="shared" si="16"/>
        <v>1.0302044926982803</v>
      </c>
      <c r="J35" s="32" t="s">
        <v>293</v>
      </c>
      <c r="K35" s="32" t="s">
        <v>294</v>
      </c>
    </row>
    <row r="36" spans="1:11" x14ac:dyDescent="0.25">
      <c r="A36" s="8">
        <v>13</v>
      </c>
      <c r="B36" s="59">
        <f t="shared" ref="B36:B48" si="17">H35</f>
        <v>0.61375560698077336</v>
      </c>
      <c r="C36" s="59">
        <f t="shared" si="11"/>
        <v>0.83576730938162724</v>
      </c>
      <c r="D36" s="59">
        <f t="shared" ref="D36:D48" si="18">TAN(B36)-SIN(B36)-2.75</f>
        <v>-2.6214179135605056</v>
      </c>
      <c r="E36" s="59">
        <f t="shared" ref="E36:E48" si="19">TAN(C36)-SIN(C36)-2.75</f>
        <v>-2.3856351964629505</v>
      </c>
      <c r="F36" s="59">
        <f t="shared" ref="F36:F48" si="20">D36*(B36-C36)</f>
        <v>0.58198545369366228</v>
      </c>
      <c r="G36" s="59">
        <f t="shared" ref="G36:G48" si="21">D36-E36</f>
        <v>-0.23578271709755505</v>
      </c>
      <c r="H36" s="59">
        <f t="shared" ref="H36:H48" si="22">B36-(F36/G36)</f>
        <v>3.0820682163942359</v>
      </c>
      <c r="I36" s="59">
        <f t="shared" ref="I36:I48" si="23">ABS((B36-C36)/B36)</f>
        <v>0.36172655675275756</v>
      </c>
      <c r="J36" s="32" t="s">
        <v>294</v>
      </c>
      <c r="K36" s="32" t="s">
        <v>295</v>
      </c>
    </row>
    <row r="37" spans="1:11" x14ac:dyDescent="0.25">
      <c r="A37" s="8">
        <v>14</v>
      </c>
      <c r="B37" s="59">
        <f t="shared" si="17"/>
        <v>3.0820682163942359</v>
      </c>
      <c r="C37" s="59">
        <f t="shared" si="11"/>
        <v>0.61375560698077336</v>
      </c>
      <c r="D37" s="59">
        <f t="shared" si="18"/>
        <v>-2.8690841311505038</v>
      </c>
      <c r="E37" s="59">
        <f t="shared" si="19"/>
        <v>-2.6214179135605056</v>
      </c>
      <c r="F37" s="59">
        <f t="shared" si="20"/>
        <v>-7.0817965383868566</v>
      </c>
      <c r="G37" s="59">
        <f t="shared" si="21"/>
        <v>-0.24766621758999818</v>
      </c>
      <c r="H37" s="59">
        <f t="shared" si="22"/>
        <v>-25.512047716326535</v>
      </c>
      <c r="I37" s="59">
        <f t="shared" si="23"/>
        <v>0.80086241968426752</v>
      </c>
      <c r="J37" s="32" t="s">
        <v>295</v>
      </c>
      <c r="K37" s="32" t="s">
        <v>296</v>
      </c>
    </row>
    <row r="38" spans="1:11" x14ac:dyDescent="0.25">
      <c r="A38" s="8">
        <v>15</v>
      </c>
      <c r="B38" s="59">
        <f t="shared" si="17"/>
        <v>-25.512047716326535</v>
      </c>
      <c r="C38" s="59">
        <f t="shared" si="11"/>
        <v>3.0820682163942359</v>
      </c>
      <c r="D38" s="59">
        <f t="shared" si="18"/>
        <v>-2.7783324553911508</v>
      </c>
      <c r="E38" s="59">
        <f t="shared" si="19"/>
        <v>-2.8690841311505038</v>
      </c>
      <c r="F38" s="59">
        <f t="shared" si="20"/>
        <v>79.443960329095333</v>
      </c>
      <c r="G38" s="59">
        <f t="shared" si="21"/>
        <v>9.0751675759352946E-2</v>
      </c>
      <c r="H38" s="59">
        <f t="shared" si="22"/>
        <v>-900.91142369873387</v>
      </c>
      <c r="I38" s="59">
        <f t="shared" si="23"/>
        <v>1.1208083432057026</v>
      </c>
      <c r="J38" s="32" t="s">
        <v>296</v>
      </c>
      <c r="K38" s="32" t="s">
        <v>297</v>
      </c>
    </row>
    <row r="39" spans="1:11" x14ac:dyDescent="0.25">
      <c r="A39" s="8">
        <v>16</v>
      </c>
      <c r="B39" s="59">
        <f t="shared" si="17"/>
        <v>-900.91142369873387</v>
      </c>
      <c r="C39" s="59">
        <f t="shared" si="11"/>
        <v>-25.512047716326535</v>
      </c>
      <c r="D39" s="59">
        <f t="shared" si="18"/>
        <v>-1.1992188004969953</v>
      </c>
      <c r="E39" s="59">
        <f t="shared" si="19"/>
        <v>-2.7783324553911508</v>
      </c>
      <c r="F39" s="59">
        <f t="shared" si="20"/>
        <v>1049.7953896214408</v>
      </c>
      <c r="G39" s="59">
        <f t="shared" si="21"/>
        <v>1.5791136548941556</v>
      </c>
      <c r="H39" s="59">
        <f t="shared" si="22"/>
        <v>-1565.7118238268718</v>
      </c>
      <c r="I39" s="59">
        <f t="shared" si="23"/>
        <v>0.97168195779826438</v>
      </c>
      <c r="J39" s="32" t="s">
        <v>297</v>
      </c>
      <c r="K39" s="32" t="s">
        <v>298</v>
      </c>
    </row>
    <row r="40" spans="1:11" x14ac:dyDescent="0.25">
      <c r="A40" s="8">
        <v>17</v>
      </c>
      <c r="B40" s="59">
        <f t="shared" si="17"/>
        <v>-1565.7118238268718</v>
      </c>
      <c r="C40" s="59">
        <f t="shared" si="11"/>
        <v>-900.91142369873387</v>
      </c>
      <c r="D40" s="59">
        <f t="shared" si="18"/>
        <v>-4.3805894433221138</v>
      </c>
      <c r="E40" s="59">
        <f t="shared" si="19"/>
        <v>-1.1992188004969953</v>
      </c>
      <c r="F40" s="59">
        <f t="shared" si="20"/>
        <v>2912.2176147176378</v>
      </c>
      <c r="G40" s="59">
        <f t="shared" si="21"/>
        <v>-3.1813706428251187</v>
      </c>
      <c r="H40" s="59">
        <f t="shared" si="22"/>
        <v>-650.31467534135857</v>
      </c>
      <c r="I40" s="59">
        <f t="shared" si="23"/>
        <v>0.42459946333115772</v>
      </c>
      <c r="J40" s="32" t="s">
        <v>298</v>
      </c>
      <c r="K40" s="32" t="s">
        <v>299</v>
      </c>
    </row>
    <row r="41" spans="1:11" x14ac:dyDescent="0.25">
      <c r="A41" s="8">
        <v>18</v>
      </c>
      <c r="B41" s="59">
        <f t="shared" si="17"/>
        <v>-650.31467534135857</v>
      </c>
      <c r="C41" s="59">
        <f t="shared" si="11"/>
        <v>-1565.7118238268718</v>
      </c>
      <c r="D41" s="59">
        <f t="shared" si="18"/>
        <v>-2.7599921173271471</v>
      </c>
      <c r="E41" s="59">
        <f t="shared" si="19"/>
        <v>-4.3805894433221138</v>
      </c>
      <c r="F41" s="59">
        <f t="shared" si="20"/>
        <v>-2526.4889140437645</v>
      </c>
      <c r="G41" s="59">
        <f t="shared" si="21"/>
        <v>1.6205973259949666</v>
      </c>
      <c r="H41" s="59">
        <f t="shared" si="22"/>
        <v>908.67155369775526</v>
      </c>
      <c r="I41" s="59">
        <f t="shared" si="23"/>
        <v>1.4076218532282228</v>
      </c>
      <c r="J41" s="32" t="s">
        <v>299</v>
      </c>
      <c r="K41" s="32" t="s">
        <v>300</v>
      </c>
    </row>
    <row r="42" spans="1:11" x14ac:dyDescent="0.25">
      <c r="A42" s="8">
        <v>19</v>
      </c>
      <c r="B42" s="59">
        <f t="shared" si="17"/>
        <v>908.67155369775526</v>
      </c>
      <c r="C42" s="59">
        <f t="shared" si="11"/>
        <v>-650.31467534135857</v>
      </c>
      <c r="D42" s="59">
        <f t="shared" si="18"/>
        <v>-1.1334433483744579</v>
      </c>
      <c r="E42" s="59">
        <f t="shared" si="19"/>
        <v>-2.7599921173271471</v>
      </c>
      <c r="F42" s="59">
        <f t="shared" si="20"/>
        <v>-1767.0225715117626</v>
      </c>
      <c r="G42" s="59">
        <f t="shared" si="21"/>
        <v>1.6265487689526892</v>
      </c>
      <c r="H42" s="59">
        <f t="shared" si="22"/>
        <v>1995.0346589672777</v>
      </c>
      <c r="I42" s="59">
        <f t="shared" si="23"/>
        <v>1.7156762778530514</v>
      </c>
      <c r="J42" s="32" t="s">
        <v>300</v>
      </c>
      <c r="K42" s="32" t="s">
        <v>301</v>
      </c>
    </row>
    <row r="43" spans="1:11" x14ac:dyDescent="0.25">
      <c r="A43" s="8">
        <v>20</v>
      </c>
      <c r="B43" s="59">
        <f t="shared" si="17"/>
        <v>1995.0346589672777</v>
      </c>
      <c r="C43" s="59">
        <f t="shared" si="11"/>
        <v>908.67155369775526</v>
      </c>
      <c r="D43" s="59">
        <f t="shared" si="18"/>
        <v>-2.5030354584763876</v>
      </c>
      <c r="E43" s="59">
        <f t="shared" si="19"/>
        <v>-1.1334433483744579</v>
      </c>
      <c r="F43" s="59">
        <f t="shared" si="20"/>
        <v>-2719.2053732701311</v>
      </c>
      <c r="G43" s="59">
        <f t="shared" si="21"/>
        <v>-1.3695921101019297</v>
      </c>
      <c r="H43" s="59">
        <f t="shared" si="22"/>
        <v>9.6221020361790579</v>
      </c>
      <c r="I43" s="59">
        <f t="shared" si="23"/>
        <v>0.54453344977569174</v>
      </c>
      <c r="J43" s="32" t="s">
        <v>301</v>
      </c>
      <c r="K43" s="32" t="s">
        <v>302</v>
      </c>
    </row>
    <row r="44" spans="1:11" x14ac:dyDescent="0.25">
      <c r="A44" s="8">
        <v>21</v>
      </c>
      <c r="B44" s="59">
        <f t="shared" si="17"/>
        <v>9.6221020361790579</v>
      </c>
      <c r="C44" s="59">
        <f t="shared" si="11"/>
        <v>1995.0346589672777</v>
      </c>
      <c r="D44" s="59">
        <f t="shared" si="18"/>
        <v>-2.3540283043785779</v>
      </c>
      <c r="E44" s="59">
        <f t="shared" si="19"/>
        <v>-2.5030354584763876</v>
      </c>
      <c r="F44" s="59">
        <f t="shared" si="20"/>
        <v>4673.7173548844512</v>
      </c>
      <c r="G44" s="59">
        <f t="shared" si="21"/>
        <v>0.14900715409780974</v>
      </c>
      <c r="H44" s="59">
        <f t="shared" si="22"/>
        <v>-31356.102471272417</v>
      </c>
      <c r="I44" s="59">
        <f t="shared" si="23"/>
        <v>206.33875523933926</v>
      </c>
      <c r="J44" s="32" t="s">
        <v>302</v>
      </c>
      <c r="K44" s="32" t="s">
        <v>283</v>
      </c>
    </row>
    <row r="45" spans="1:11" x14ac:dyDescent="0.25">
      <c r="A45" s="8">
        <v>22</v>
      </c>
      <c r="B45" s="59">
        <f t="shared" si="17"/>
        <v>-31356.102471272417</v>
      </c>
      <c r="C45" s="59">
        <f t="shared" si="11"/>
        <v>9.6221020361790579</v>
      </c>
      <c r="D45" s="59">
        <f t="shared" si="18"/>
        <v>-2.4819862057347413</v>
      </c>
      <c r="E45" s="59">
        <f t="shared" si="19"/>
        <v>-2.3540283043785779</v>
      </c>
      <c r="F45" s="59">
        <f t="shared" si="20"/>
        <v>77849.295723827134</v>
      </c>
      <c r="G45" s="59">
        <f t="shared" si="21"/>
        <v>-0.12795790135616336</v>
      </c>
      <c r="H45" s="59">
        <f t="shared" si="22"/>
        <v>577041.61973845772</v>
      </c>
      <c r="I45" s="59">
        <f t="shared" si="23"/>
        <v>1.000306865371581</v>
      </c>
      <c r="J45" s="32" t="s">
        <v>283</v>
      </c>
      <c r="K45" s="32" t="s">
        <v>304</v>
      </c>
    </row>
    <row r="46" spans="1:11" x14ac:dyDescent="0.25">
      <c r="A46" s="8">
        <v>23</v>
      </c>
      <c r="B46" s="59">
        <f t="shared" si="17"/>
        <v>577041.61973845772</v>
      </c>
      <c r="C46" s="59">
        <f t="shared" si="11"/>
        <v>-31356.102471272417</v>
      </c>
      <c r="D46" s="59">
        <f t="shared" si="18"/>
        <v>-2.7477667523901568</v>
      </c>
      <c r="E46" s="59">
        <f t="shared" si="19"/>
        <v>-2.4819862057347413</v>
      </c>
      <c r="F46" s="59">
        <f t="shared" si="20"/>
        <v>-1671735.033317799</v>
      </c>
      <c r="G46" s="59">
        <f t="shared" si="21"/>
        <v>-0.26578054665541551</v>
      </c>
      <c r="H46" s="59">
        <f t="shared" si="22"/>
        <v>-5712865.8033401901</v>
      </c>
      <c r="I46" s="59">
        <f t="shared" si="23"/>
        <v>1.0543394122688836</v>
      </c>
      <c r="J46" s="32" t="s">
        <v>304</v>
      </c>
      <c r="K46" s="32" t="s">
        <v>305</v>
      </c>
    </row>
    <row r="47" spans="1:11" x14ac:dyDescent="0.25">
      <c r="A47" s="8">
        <v>24</v>
      </c>
      <c r="B47" s="59">
        <f t="shared" si="17"/>
        <v>-5712865.8033401901</v>
      </c>
      <c r="C47" s="59">
        <f t="shared" si="11"/>
        <v>577041.61973845772</v>
      </c>
      <c r="D47" s="59">
        <f t="shared" si="18"/>
        <v>-1.8500687133854967</v>
      </c>
      <c r="E47" s="59">
        <f t="shared" si="19"/>
        <v>-2.7477667523901568</v>
      </c>
      <c r="F47" s="59">
        <f t="shared" si="20"/>
        <v>11636760.933528999</v>
      </c>
      <c r="G47" s="59">
        <f t="shared" si="21"/>
        <v>0.89769803900466005</v>
      </c>
      <c r="H47" s="59">
        <f t="shared" si="22"/>
        <v>-18675755.804115374</v>
      </c>
      <c r="I47" s="59">
        <f t="shared" si="23"/>
        <v>1.1010073822145574</v>
      </c>
      <c r="J47" s="32" t="s">
        <v>305</v>
      </c>
      <c r="K47" s="32" t="s">
        <v>306</v>
      </c>
    </row>
    <row r="48" spans="1:11" x14ac:dyDescent="0.25">
      <c r="A48" s="8">
        <v>25</v>
      </c>
      <c r="B48" s="59">
        <f t="shared" si="17"/>
        <v>-18675755.804115374</v>
      </c>
      <c r="C48" s="59">
        <f t="shared" si="11"/>
        <v>-5712865.8033401901</v>
      </c>
      <c r="D48" s="59">
        <f t="shared" si="18"/>
        <v>-2.2137273303600171</v>
      </c>
      <c r="E48" s="59">
        <f t="shared" si="19"/>
        <v>-1.8500687133854967</v>
      </c>
      <c r="F48" s="59">
        <f t="shared" si="20"/>
        <v>28696303.87516661</v>
      </c>
      <c r="G48" s="59">
        <f t="shared" si="21"/>
        <v>-0.3636586169745204</v>
      </c>
      <c r="H48" s="59">
        <f t="shared" si="22"/>
        <v>60234250.822173938</v>
      </c>
      <c r="I48" s="59">
        <f t="shared" si="23"/>
        <v>0.69410256466936093</v>
      </c>
      <c r="J48" s="32" t="s">
        <v>306</v>
      </c>
      <c r="K48" s="32" t="s">
        <v>307</v>
      </c>
    </row>
    <row r="49" spans="2:3" x14ac:dyDescent="0.25">
      <c r="B49" s="27" t="s">
        <v>427</v>
      </c>
      <c r="C49" s="27"/>
    </row>
    <row r="50" spans="2:3" x14ac:dyDescent="0.25">
      <c r="B50" t="s">
        <v>418</v>
      </c>
    </row>
    <row r="51" spans="2:3" x14ac:dyDescent="0.25">
      <c r="B51" t="s">
        <v>419</v>
      </c>
    </row>
    <row r="52" spans="2:3" x14ac:dyDescent="0.25">
      <c r="B52" t="s">
        <v>421</v>
      </c>
    </row>
    <row r="53" spans="2:3" x14ac:dyDescent="0.25">
      <c r="B53" s="60" t="s">
        <v>420</v>
      </c>
    </row>
  </sheetData>
  <phoneticPr fontId="5" type="noConversion"/>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C736B-B50E-4206-8826-C1E5C900CF99}">
  <sheetPr codeName="Sheet3"/>
  <dimension ref="A1:A436"/>
  <sheetViews>
    <sheetView workbookViewId="0">
      <selection activeCell="D21" sqref="D21"/>
    </sheetView>
  </sheetViews>
  <sheetFormatPr defaultRowHeight="15" x14ac:dyDescent="0.25"/>
  <cols>
    <col min="1" max="1" width="100.7109375" customWidth="1"/>
  </cols>
  <sheetData>
    <row r="1" spans="1:1" ht="15.75" x14ac:dyDescent="0.25">
      <c r="A1" s="16" t="s">
        <v>60</v>
      </c>
    </row>
    <row r="3" spans="1:1" x14ac:dyDescent="0.25">
      <c r="A3" s="12" t="s">
        <v>15</v>
      </c>
    </row>
    <row r="5" spans="1:1" x14ac:dyDescent="0.25">
      <c r="A5" t="s">
        <v>32</v>
      </c>
    </row>
    <row r="7" spans="1:1" x14ac:dyDescent="0.25">
      <c r="A7" t="s">
        <v>33</v>
      </c>
    </row>
    <row r="8" spans="1:1" x14ac:dyDescent="0.25">
      <c r="A8" t="s">
        <v>34</v>
      </c>
    </row>
    <row r="9" spans="1:1" x14ac:dyDescent="0.25">
      <c r="A9" t="s">
        <v>35</v>
      </c>
    </row>
    <row r="11" spans="1:1" x14ac:dyDescent="0.25">
      <c r="A11" t="s">
        <v>36</v>
      </c>
    </row>
    <row r="12" spans="1:1" x14ac:dyDescent="0.25">
      <c r="A12" t="s">
        <v>37</v>
      </c>
    </row>
    <row r="14" spans="1:1" x14ac:dyDescent="0.25">
      <c r="A14" t="s">
        <v>38</v>
      </c>
    </row>
    <row r="16" spans="1:1" x14ac:dyDescent="0.25">
      <c r="A16" t="s">
        <v>39</v>
      </c>
    </row>
    <row r="17" spans="1:1" x14ac:dyDescent="0.25">
      <c r="A17" t="s">
        <v>40</v>
      </c>
    </row>
    <row r="19" spans="1:1" x14ac:dyDescent="0.25">
      <c r="A19" t="s">
        <v>41</v>
      </c>
    </row>
    <row r="20" spans="1:1" x14ac:dyDescent="0.25">
      <c r="A20" t="s">
        <v>42</v>
      </c>
    </row>
    <row r="21" spans="1:1" x14ac:dyDescent="0.25">
      <c r="A21" t="s">
        <v>43</v>
      </c>
    </row>
    <row r="23" spans="1:1" x14ac:dyDescent="0.25">
      <c r="A23" t="s">
        <v>44</v>
      </c>
    </row>
    <row r="25" spans="1:1" x14ac:dyDescent="0.25">
      <c r="A25" t="s">
        <v>45</v>
      </c>
    </row>
    <row r="26" spans="1:1" x14ac:dyDescent="0.25">
      <c r="A26" t="s">
        <v>46</v>
      </c>
    </row>
    <row r="28" spans="1:1" x14ac:dyDescent="0.25">
      <c r="A28" t="s">
        <v>47</v>
      </c>
    </row>
    <row r="29" spans="1:1" x14ac:dyDescent="0.25">
      <c r="A29" t="s">
        <v>48</v>
      </c>
    </row>
    <row r="30" spans="1:1" x14ac:dyDescent="0.25">
      <c r="A30" t="s">
        <v>49</v>
      </c>
    </row>
    <row r="31" spans="1:1" x14ac:dyDescent="0.25">
      <c r="A31" t="s">
        <v>50</v>
      </c>
    </row>
    <row r="32" spans="1:1" x14ac:dyDescent="0.25">
      <c r="A32" t="s">
        <v>51</v>
      </c>
    </row>
    <row r="33" spans="1:1" x14ac:dyDescent="0.25">
      <c r="A33" t="s">
        <v>52</v>
      </c>
    </row>
    <row r="34" spans="1:1" x14ac:dyDescent="0.25">
      <c r="A34" t="s">
        <v>53</v>
      </c>
    </row>
    <row r="35" spans="1:1" x14ac:dyDescent="0.25">
      <c r="A35" t="s">
        <v>54</v>
      </c>
    </row>
    <row r="36" spans="1:1" x14ac:dyDescent="0.25">
      <c r="A36" t="s">
        <v>55</v>
      </c>
    </row>
    <row r="37" spans="1:1" x14ac:dyDescent="0.25">
      <c r="A37" t="s">
        <v>56</v>
      </c>
    </row>
    <row r="38" spans="1:1" x14ac:dyDescent="0.25">
      <c r="A38" t="s">
        <v>57</v>
      </c>
    </row>
    <row r="39" spans="1:1" x14ac:dyDescent="0.25">
      <c r="A39" t="s">
        <v>58</v>
      </c>
    </row>
    <row r="40" spans="1:1" x14ac:dyDescent="0.25">
      <c r="A40" t="s">
        <v>59</v>
      </c>
    </row>
    <row r="41" spans="1:1" x14ac:dyDescent="0.25">
      <c r="A41" t="s">
        <v>11</v>
      </c>
    </row>
    <row r="43" spans="1:1" x14ac:dyDescent="0.25">
      <c r="A43" t="s">
        <v>9</v>
      </c>
    </row>
    <row r="45" spans="1:1" x14ac:dyDescent="0.25">
      <c r="A45" s="12" t="s">
        <v>85</v>
      </c>
    </row>
    <row r="47" spans="1:1" x14ac:dyDescent="0.25">
      <c r="A47" t="s">
        <v>86</v>
      </c>
    </row>
    <row r="48" spans="1:1" x14ac:dyDescent="0.25">
      <c r="A48" t="s">
        <v>87</v>
      </c>
    </row>
    <row r="49" spans="1:1" x14ac:dyDescent="0.25">
      <c r="A49" t="s">
        <v>88</v>
      </c>
    </row>
    <row r="50" spans="1:1" x14ac:dyDescent="0.25">
      <c r="A50" t="s">
        <v>89</v>
      </c>
    </row>
    <row r="51" spans="1:1" x14ac:dyDescent="0.25">
      <c r="A51" t="s">
        <v>90</v>
      </c>
    </row>
    <row r="53" spans="1:1" x14ac:dyDescent="0.25">
      <c r="A53" t="s">
        <v>91</v>
      </c>
    </row>
    <row r="55" spans="1:1" x14ac:dyDescent="0.25">
      <c r="A55" t="s">
        <v>92</v>
      </c>
    </row>
    <row r="56" spans="1:1" x14ac:dyDescent="0.25">
      <c r="A56" t="s">
        <v>93</v>
      </c>
    </row>
    <row r="58" spans="1:1" x14ac:dyDescent="0.25">
      <c r="A58" t="s">
        <v>94</v>
      </c>
    </row>
    <row r="60" spans="1:1" x14ac:dyDescent="0.25">
      <c r="A60" t="s">
        <v>95</v>
      </c>
    </row>
    <row r="61" spans="1:1" x14ac:dyDescent="0.25">
      <c r="A61" t="s">
        <v>96</v>
      </c>
    </row>
    <row r="62" spans="1:1" x14ac:dyDescent="0.25">
      <c r="A62" t="s">
        <v>97</v>
      </c>
    </row>
    <row r="63" spans="1:1" x14ac:dyDescent="0.25">
      <c r="A63" t="s">
        <v>98</v>
      </c>
    </row>
    <row r="64" spans="1:1" x14ac:dyDescent="0.25">
      <c r="A64" t="s">
        <v>99</v>
      </c>
    </row>
    <row r="65" spans="1:1" x14ac:dyDescent="0.25">
      <c r="A65" t="s">
        <v>100</v>
      </c>
    </row>
    <row r="66" spans="1:1" x14ac:dyDescent="0.25">
      <c r="A66" t="s">
        <v>101</v>
      </c>
    </row>
    <row r="68" spans="1:1" x14ac:dyDescent="0.25">
      <c r="A68" t="s">
        <v>102</v>
      </c>
    </row>
    <row r="69" spans="1:1" x14ac:dyDescent="0.25">
      <c r="A69" t="s">
        <v>103</v>
      </c>
    </row>
    <row r="70" spans="1:1" x14ac:dyDescent="0.25">
      <c r="A70" t="s">
        <v>104</v>
      </c>
    </row>
    <row r="71" spans="1:1" x14ac:dyDescent="0.25">
      <c r="A71" t="s">
        <v>105</v>
      </c>
    </row>
    <row r="72" spans="1:1" x14ac:dyDescent="0.25">
      <c r="A72" t="s">
        <v>106</v>
      </c>
    </row>
    <row r="73" spans="1:1" x14ac:dyDescent="0.25">
      <c r="A73" t="s">
        <v>107</v>
      </c>
    </row>
    <row r="74" spans="1:1" x14ac:dyDescent="0.25">
      <c r="A74" t="s">
        <v>104</v>
      </c>
    </row>
    <row r="75" spans="1:1" x14ac:dyDescent="0.25">
      <c r="A75" t="s">
        <v>105</v>
      </c>
    </row>
    <row r="76" spans="1:1" x14ac:dyDescent="0.25">
      <c r="A76" t="s">
        <v>108</v>
      </c>
    </row>
    <row r="77" spans="1:1" x14ac:dyDescent="0.25">
      <c r="A77" t="s">
        <v>109</v>
      </c>
    </row>
    <row r="78" spans="1:1" x14ac:dyDescent="0.25">
      <c r="A78" t="s">
        <v>104</v>
      </c>
    </row>
    <row r="79" spans="1:1" x14ac:dyDescent="0.25">
      <c r="A79" t="s">
        <v>105</v>
      </c>
    </row>
    <row r="80" spans="1:1" x14ac:dyDescent="0.25">
      <c r="A80" t="s">
        <v>110</v>
      </c>
    </row>
    <row r="81" spans="1:1" x14ac:dyDescent="0.25">
      <c r="A81" t="s">
        <v>111</v>
      </c>
    </row>
    <row r="82" spans="1:1" x14ac:dyDescent="0.25">
      <c r="A82" t="s">
        <v>104</v>
      </c>
    </row>
    <row r="83" spans="1:1" x14ac:dyDescent="0.25">
      <c r="A83" t="s">
        <v>105</v>
      </c>
    </row>
    <row r="84" spans="1:1" x14ac:dyDescent="0.25">
      <c r="A84" t="s">
        <v>112</v>
      </c>
    </row>
    <row r="85" spans="1:1" x14ac:dyDescent="0.25">
      <c r="A85" t="s">
        <v>113</v>
      </c>
    </row>
    <row r="86" spans="1:1" x14ac:dyDescent="0.25">
      <c r="A86" t="s">
        <v>104</v>
      </c>
    </row>
    <row r="87" spans="1:1" x14ac:dyDescent="0.25">
      <c r="A87" t="s">
        <v>105</v>
      </c>
    </row>
    <row r="88" spans="1:1" x14ac:dyDescent="0.25">
      <c r="A88" t="s">
        <v>114</v>
      </c>
    </row>
    <row r="89" spans="1:1" x14ac:dyDescent="0.25">
      <c r="A89" t="s">
        <v>115</v>
      </c>
    </row>
    <row r="90" spans="1:1" x14ac:dyDescent="0.25">
      <c r="A90" t="s">
        <v>104</v>
      </c>
    </row>
    <row r="91" spans="1:1" x14ac:dyDescent="0.25">
      <c r="A91" t="s">
        <v>105</v>
      </c>
    </row>
    <row r="92" spans="1:1" x14ac:dyDescent="0.25">
      <c r="A92" t="s">
        <v>50</v>
      </c>
    </row>
    <row r="93" spans="1:1" x14ac:dyDescent="0.25">
      <c r="A93" t="s">
        <v>116</v>
      </c>
    </row>
    <row r="94" spans="1:1" x14ac:dyDescent="0.25">
      <c r="A94" t="s">
        <v>117</v>
      </c>
    </row>
    <row r="95" spans="1:1" x14ac:dyDescent="0.25">
      <c r="A95" t="s">
        <v>58</v>
      </c>
    </row>
    <row r="97" spans="1:1" x14ac:dyDescent="0.25">
      <c r="A97" t="s">
        <v>11</v>
      </c>
    </row>
    <row r="99" spans="1:1" x14ac:dyDescent="0.25">
      <c r="A99" t="s">
        <v>9</v>
      </c>
    </row>
    <row r="101" spans="1:1" x14ac:dyDescent="0.25">
      <c r="A101" s="12" t="s">
        <v>122</v>
      </c>
    </row>
    <row r="103" spans="1:1" x14ac:dyDescent="0.25">
      <c r="A103" t="s">
        <v>123</v>
      </c>
    </row>
    <row r="104" spans="1:1" x14ac:dyDescent="0.25">
      <c r="A104" t="s">
        <v>124</v>
      </c>
    </row>
    <row r="106" spans="1:1" x14ac:dyDescent="0.25">
      <c r="A106" t="s">
        <v>125</v>
      </c>
    </row>
    <row r="107" spans="1:1" x14ac:dyDescent="0.25">
      <c r="A107" t="s">
        <v>126</v>
      </c>
    </row>
    <row r="109" spans="1:1" x14ac:dyDescent="0.25">
      <c r="A109" t="s">
        <v>127</v>
      </c>
    </row>
    <row r="111" spans="1:1" x14ac:dyDescent="0.25">
      <c r="A111" t="s">
        <v>128</v>
      </c>
    </row>
    <row r="112" spans="1:1" x14ac:dyDescent="0.25">
      <c r="A112" t="s">
        <v>129</v>
      </c>
    </row>
    <row r="113" spans="1:1" x14ac:dyDescent="0.25">
      <c r="A113" t="s">
        <v>130</v>
      </c>
    </row>
    <row r="115" spans="1:1" x14ac:dyDescent="0.25">
      <c r="A115" t="s">
        <v>9</v>
      </c>
    </row>
    <row r="117" spans="1:1" x14ac:dyDescent="0.25">
      <c r="A117" s="12" t="s">
        <v>138</v>
      </c>
    </row>
    <row r="119" spans="1:1" x14ac:dyDescent="0.25">
      <c r="A119" t="s">
        <v>139</v>
      </c>
    </row>
    <row r="120" spans="1:1" x14ac:dyDescent="0.25">
      <c r="A120" t="s">
        <v>140</v>
      </c>
    </row>
    <row r="122" spans="1:1" x14ac:dyDescent="0.25">
      <c r="A122" t="s">
        <v>141</v>
      </c>
    </row>
    <row r="124" spans="1:1" x14ac:dyDescent="0.25">
      <c r="A124" t="s">
        <v>127</v>
      </c>
    </row>
    <row r="125" spans="1:1" x14ac:dyDescent="0.25">
      <c r="A125" t="s">
        <v>142</v>
      </c>
    </row>
    <row r="127" spans="1:1" x14ac:dyDescent="0.25">
      <c r="A127" t="s">
        <v>143</v>
      </c>
    </row>
    <row r="129" spans="1:1" x14ac:dyDescent="0.25">
      <c r="A129" t="s">
        <v>144</v>
      </c>
    </row>
    <row r="131" spans="1:1" x14ac:dyDescent="0.25">
      <c r="A131" t="s">
        <v>145</v>
      </c>
    </row>
    <row r="132" spans="1:1" x14ac:dyDescent="0.25">
      <c r="A132" t="s">
        <v>146</v>
      </c>
    </row>
    <row r="134" spans="1:1" x14ac:dyDescent="0.25">
      <c r="A134" t="s">
        <v>147</v>
      </c>
    </row>
    <row r="135" spans="1:1" x14ac:dyDescent="0.25">
      <c r="A135" t="s">
        <v>148</v>
      </c>
    </row>
    <row r="136" spans="1:1" x14ac:dyDescent="0.25">
      <c r="A136" t="s">
        <v>149</v>
      </c>
    </row>
    <row r="137" spans="1:1" x14ac:dyDescent="0.25">
      <c r="A137" t="s">
        <v>150</v>
      </c>
    </row>
    <row r="138" spans="1:1" x14ac:dyDescent="0.25">
      <c r="A138" t="s">
        <v>130</v>
      </c>
    </row>
    <row r="140" spans="1:1" x14ac:dyDescent="0.25">
      <c r="A140" t="s">
        <v>151</v>
      </c>
    </row>
    <row r="142" spans="1:1" x14ac:dyDescent="0.25">
      <c r="A142" t="s">
        <v>152</v>
      </c>
    </row>
    <row r="143" spans="1:1" x14ac:dyDescent="0.25">
      <c r="A143" t="s">
        <v>153</v>
      </c>
    </row>
    <row r="145" spans="1:1" x14ac:dyDescent="0.25">
      <c r="A145" t="s">
        <v>154</v>
      </c>
    </row>
    <row r="147" spans="1:1" x14ac:dyDescent="0.25">
      <c r="A147" t="s">
        <v>9</v>
      </c>
    </row>
    <row r="149" spans="1:1" x14ac:dyDescent="0.25">
      <c r="A149" s="12" t="s">
        <v>170</v>
      </c>
    </row>
    <row r="151" spans="1:1" x14ac:dyDescent="0.25">
      <c r="A151" t="s">
        <v>171</v>
      </c>
    </row>
    <row r="152" spans="1:1" x14ac:dyDescent="0.25">
      <c r="A152" t="s">
        <v>172</v>
      </c>
    </row>
    <row r="153" spans="1:1" x14ac:dyDescent="0.25">
      <c r="A153" t="s">
        <v>173</v>
      </c>
    </row>
    <row r="154" spans="1:1" x14ac:dyDescent="0.25">
      <c r="A154" t="s">
        <v>174</v>
      </c>
    </row>
    <row r="156" spans="1:1" x14ac:dyDescent="0.25">
      <c r="A156" t="s">
        <v>175</v>
      </c>
    </row>
    <row r="158" spans="1:1" x14ac:dyDescent="0.25">
      <c r="A158" t="s">
        <v>176</v>
      </c>
    </row>
    <row r="159" spans="1:1" x14ac:dyDescent="0.25">
      <c r="A159" t="s">
        <v>177</v>
      </c>
    </row>
    <row r="161" spans="1:1" x14ac:dyDescent="0.25">
      <c r="A161" t="s">
        <v>178</v>
      </c>
    </row>
    <row r="162" spans="1:1" x14ac:dyDescent="0.25">
      <c r="A162" t="s">
        <v>179</v>
      </c>
    </row>
    <row r="164" spans="1:1" x14ac:dyDescent="0.25">
      <c r="A164" t="s">
        <v>180</v>
      </c>
    </row>
    <row r="165" spans="1:1" x14ac:dyDescent="0.25">
      <c r="A165" t="s">
        <v>181</v>
      </c>
    </row>
    <row r="166" spans="1:1" x14ac:dyDescent="0.25">
      <c r="A166" t="s">
        <v>182</v>
      </c>
    </row>
    <row r="167" spans="1:1" x14ac:dyDescent="0.25">
      <c r="A167" t="s">
        <v>183</v>
      </c>
    </row>
    <row r="169" spans="1:1" x14ac:dyDescent="0.25">
      <c r="A169" t="s">
        <v>184</v>
      </c>
    </row>
    <row r="170" spans="1:1" x14ac:dyDescent="0.25">
      <c r="A170" t="s">
        <v>185</v>
      </c>
    </row>
    <row r="171" spans="1:1" x14ac:dyDescent="0.25">
      <c r="A171" t="s">
        <v>186</v>
      </c>
    </row>
    <row r="172" spans="1:1" x14ac:dyDescent="0.25">
      <c r="A172" t="s">
        <v>187</v>
      </c>
    </row>
    <row r="173" spans="1:1" x14ac:dyDescent="0.25">
      <c r="A173" t="s">
        <v>188</v>
      </c>
    </row>
    <row r="174" spans="1:1" x14ac:dyDescent="0.25">
      <c r="A174" t="s">
        <v>189</v>
      </c>
    </row>
    <row r="175" spans="1:1" x14ac:dyDescent="0.25">
      <c r="A175" t="s">
        <v>190</v>
      </c>
    </row>
    <row r="176" spans="1:1" x14ac:dyDescent="0.25">
      <c r="A176" t="s">
        <v>191</v>
      </c>
    </row>
    <row r="177" spans="1:1" x14ac:dyDescent="0.25">
      <c r="A177" t="s">
        <v>192</v>
      </c>
    </row>
    <row r="178" spans="1:1" x14ac:dyDescent="0.25">
      <c r="A178" t="s">
        <v>193</v>
      </c>
    </row>
    <row r="179" spans="1:1" x14ac:dyDescent="0.25">
      <c r="A179" t="s">
        <v>194</v>
      </c>
    </row>
    <row r="180" spans="1:1" x14ac:dyDescent="0.25">
      <c r="A180" t="s">
        <v>195</v>
      </c>
    </row>
    <row r="182" spans="1:1" x14ac:dyDescent="0.25">
      <c r="A182" t="s">
        <v>144</v>
      </c>
    </row>
    <row r="183" spans="1:1" x14ac:dyDescent="0.25">
      <c r="A183" t="s">
        <v>196</v>
      </c>
    </row>
    <row r="184" spans="1:1" x14ac:dyDescent="0.25">
      <c r="A184" t="s">
        <v>197</v>
      </c>
    </row>
    <row r="185" spans="1:1" x14ac:dyDescent="0.25">
      <c r="A185" t="s">
        <v>198</v>
      </c>
    </row>
    <row r="186" spans="1:1" x14ac:dyDescent="0.25">
      <c r="A186" t="s">
        <v>199</v>
      </c>
    </row>
    <row r="188" spans="1:1" x14ac:dyDescent="0.25">
      <c r="A188" t="s">
        <v>200</v>
      </c>
    </row>
    <row r="189" spans="1:1" x14ac:dyDescent="0.25">
      <c r="A189" t="s">
        <v>201</v>
      </c>
    </row>
    <row r="190" spans="1:1" x14ac:dyDescent="0.25">
      <c r="A190" t="s">
        <v>202</v>
      </c>
    </row>
    <row r="191" spans="1:1" x14ac:dyDescent="0.25">
      <c r="A191" t="s">
        <v>203</v>
      </c>
    </row>
    <row r="192" spans="1:1" x14ac:dyDescent="0.25">
      <c r="A192" t="s">
        <v>204</v>
      </c>
    </row>
    <row r="193" spans="1:1" x14ac:dyDescent="0.25">
      <c r="A193" t="s">
        <v>205</v>
      </c>
    </row>
    <row r="194" spans="1:1" x14ac:dyDescent="0.25">
      <c r="A194" t="s">
        <v>206</v>
      </c>
    </row>
    <row r="195" spans="1:1" x14ac:dyDescent="0.25">
      <c r="A195" t="s">
        <v>207</v>
      </c>
    </row>
    <row r="196" spans="1:1" x14ac:dyDescent="0.25">
      <c r="A196" t="s">
        <v>208</v>
      </c>
    </row>
    <row r="197" spans="1:1" x14ac:dyDescent="0.25">
      <c r="A197" t="s">
        <v>209</v>
      </c>
    </row>
    <row r="198" spans="1:1" x14ac:dyDescent="0.25">
      <c r="A198" t="s">
        <v>210</v>
      </c>
    </row>
    <row r="200" spans="1:1" x14ac:dyDescent="0.25">
      <c r="A200" t="s">
        <v>211</v>
      </c>
    </row>
    <row r="202" spans="1:1" x14ac:dyDescent="0.25">
      <c r="A202" t="s">
        <v>212</v>
      </c>
    </row>
    <row r="203" spans="1:1" x14ac:dyDescent="0.25">
      <c r="A203" t="s">
        <v>213</v>
      </c>
    </row>
    <row r="205" spans="1:1" x14ac:dyDescent="0.25">
      <c r="A205" t="s">
        <v>154</v>
      </c>
    </row>
    <row r="207" spans="1:1" x14ac:dyDescent="0.25">
      <c r="A207" t="s">
        <v>9</v>
      </c>
    </row>
    <row r="209" spans="1:1" x14ac:dyDescent="0.25">
      <c r="A209" s="12" t="s">
        <v>316</v>
      </c>
    </row>
    <row r="211" spans="1:1" x14ac:dyDescent="0.25">
      <c r="A211" t="s">
        <v>317</v>
      </c>
    </row>
    <row r="212" spans="1:1" x14ac:dyDescent="0.25">
      <c r="A212" t="s">
        <v>318</v>
      </c>
    </row>
    <row r="213" spans="1:1" x14ac:dyDescent="0.25">
      <c r="A213" t="s">
        <v>319</v>
      </c>
    </row>
    <row r="214" spans="1:1" x14ac:dyDescent="0.25">
      <c r="A214" t="s">
        <v>320</v>
      </c>
    </row>
    <row r="216" spans="1:1" x14ac:dyDescent="0.25">
      <c r="A216" t="s">
        <v>321</v>
      </c>
    </row>
    <row r="218" spans="1:1" x14ac:dyDescent="0.25">
      <c r="A218" t="s">
        <v>322</v>
      </c>
    </row>
    <row r="219" spans="1:1" x14ac:dyDescent="0.25">
      <c r="A219" t="s">
        <v>323</v>
      </c>
    </row>
    <row r="221" spans="1:1" x14ac:dyDescent="0.25">
      <c r="A221" t="s">
        <v>324</v>
      </c>
    </row>
    <row r="222" spans="1:1" x14ac:dyDescent="0.25">
      <c r="A222" t="s">
        <v>325</v>
      </c>
    </row>
    <row r="223" spans="1:1" x14ac:dyDescent="0.25">
      <c r="A223" t="s">
        <v>326</v>
      </c>
    </row>
    <row r="224" spans="1:1" x14ac:dyDescent="0.25">
      <c r="A224" t="s">
        <v>327</v>
      </c>
    </row>
    <row r="226" spans="1:1" x14ac:dyDescent="0.25">
      <c r="A226" t="s">
        <v>328</v>
      </c>
    </row>
    <row r="227" spans="1:1" x14ac:dyDescent="0.25">
      <c r="A227" t="s">
        <v>329</v>
      </c>
    </row>
    <row r="228" spans="1:1" x14ac:dyDescent="0.25">
      <c r="A228" t="s">
        <v>330</v>
      </c>
    </row>
    <row r="230" spans="1:1" x14ac:dyDescent="0.25">
      <c r="A230" t="s">
        <v>331</v>
      </c>
    </row>
    <row r="231" spans="1:1" x14ac:dyDescent="0.25">
      <c r="A231" t="s">
        <v>332</v>
      </c>
    </row>
    <row r="232" spans="1:1" x14ac:dyDescent="0.25">
      <c r="A232" t="s">
        <v>58</v>
      </c>
    </row>
    <row r="234" spans="1:1" x14ac:dyDescent="0.25">
      <c r="A234" t="s">
        <v>333</v>
      </c>
    </row>
    <row r="235" spans="1:1" x14ac:dyDescent="0.25">
      <c r="A235" t="s">
        <v>332</v>
      </c>
    </row>
    <row r="236" spans="1:1" x14ac:dyDescent="0.25">
      <c r="A236" t="s">
        <v>58</v>
      </c>
    </row>
    <row r="238" spans="1:1" x14ac:dyDescent="0.25">
      <c r="A238" t="s">
        <v>334</v>
      </c>
    </row>
    <row r="240" spans="1:1" x14ac:dyDescent="0.25">
      <c r="A240" t="s">
        <v>335</v>
      </c>
    </row>
    <row r="242" spans="1:1" x14ac:dyDescent="0.25">
      <c r="A242" t="s">
        <v>336</v>
      </c>
    </row>
    <row r="243" spans="1:1" x14ac:dyDescent="0.25">
      <c r="A243" t="s">
        <v>337</v>
      </c>
    </row>
    <row r="245" spans="1:1" x14ac:dyDescent="0.25">
      <c r="A245" t="s">
        <v>197</v>
      </c>
    </row>
    <row r="246" spans="1:1" x14ac:dyDescent="0.25">
      <c r="A246" t="s">
        <v>144</v>
      </c>
    </row>
    <row r="249" spans="1:1" x14ac:dyDescent="0.25">
      <c r="A249" t="s">
        <v>338</v>
      </c>
    </row>
    <row r="250" spans="1:1" x14ac:dyDescent="0.25">
      <c r="A250" t="s">
        <v>339</v>
      </c>
    </row>
    <row r="251" spans="1:1" x14ac:dyDescent="0.25">
      <c r="A251" t="s">
        <v>340</v>
      </c>
    </row>
    <row r="252" spans="1:1" x14ac:dyDescent="0.25">
      <c r="A252" t="s">
        <v>341</v>
      </c>
    </row>
    <row r="253" spans="1:1" x14ac:dyDescent="0.25">
      <c r="A253" t="s">
        <v>342</v>
      </c>
    </row>
    <row r="254" spans="1:1" x14ac:dyDescent="0.25">
      <c r="A254" t="s">
        <v>343</v>
      </c>
    </row>
    <row r="255" spans="1:1" x14ac:dyDescent="0.25">
      <c r="A255" t="s">
        <v>344</v>
      </c>
    </row>
    <row r="256" spans="1:1" x14ac:dyDescent="0.25">
      <c r="A256" t="s">
        <v>54</v>
      </c>
    </row>
    <row r="257" spans="1:1" x14ac:dyDescent="0.25">
      <c r="A257" t="s">
        <v>345</v>
      </c>
    </row>
    <row r="258" spans="1:1" x14ac:dyDescent="0.25">
      <c r="A258" t="s">
        <v>342</v>
      </c>
    </row>
    <row r="259" spans="1:1" x14ac:dyDescent="0.25">
      <c r="A259" t="s">
        <v>343</v>
      </c>
    </row>
    <row r="260" spans="1:1" x14ac:dyDescent="0.25">
      <c r="A260" t="s">
        <v>344</v>
      </c>
    </row>
    <row r="261" spans="1:1" x14ac:dyDescent="0.25">
      <c r="A261" t="s">
        <v>209</v>
      </c>
    </row>
    <row r="262" spans="1:1" x14ac:dyDescent="0.25">
      <c r="A262" t="s">
        <v>210</v>
      </c>
    </row>
    <row r="264" spans="1:1" x14ac:dyDescent="0.25">
      <c r="A264" t="s">
        <v>346</v>
      </c>
    </row>
    <row r="265" spans="1:1" x14ac:dyDescent="0.25">
      <c r="A265" t="s">
        <v>347</v>
      </c>
    </row>
    <row r="267" spans="1:1" x14ac:dyDescent="0.25">
      <c r="A267" t="s">
        <v>348</v>
      </c>
    </row>
    <row r="268" spans="1:1" x14ac:dyDescent="0.25">
      <c r="A268" t="s">
        <v>349</v>
      </c>
    </row>
    <row r="269" spans="1:1" x14ac:dyDescent="0.25">
      <c r="A269" t="s">
        <v>350</v>
      </c>
    </row>
    <row r="271" spans="1:1" x14ac:dyDescent="0.25">
      <c r="A271" t="s">
        <v>351</v>
      </c>
    </row>
    <row r="273" spans="1:1" x14ac:dyDescent="0.25">
      <c r="A273" t="s">
        <v>352</v>
      </c>
    </row>
    <row r="274" spans="1:1" x14ac:dyDescent="0.25">
      <c r="A274" t="s">
        <v>353</v>
      </c>
    </row>
    <row r="276" spans="1:1" x14ac:dyDescent="0.25">
      <c r="A276" s="54" t="s">
        <v>404</v>
      </c>
    </row>
    <row r="277" spans="1:1" x14ac:dyDescent="0.25">
      <c r="A277" t="s">
        <v>331</v>
      </c>
    </row>
    <row r="278" spans="1:1" x14ac:dyDescent="0.25">
      <c r="A278" t="s">
        <v>354</v>
      </c>
    </row>
    <row r="279" spans="1:1" x14ac:dyDescent="0.25">
      <c r="A279" t="s">
        <v>58</v>
      </c>
    </row>
    <row r="281" spans="1:1" x14ac:dyDescent="0.25">
      <c r="A281" t="s">
        <v>333</v>
      </c>
    </row>
    <row r="282" spans="1:1" x14ac:dyDescent="0.25">
      <c r="A282" t="s">
        <v>355</v>
      </c>
    </row>
    <row r="283" spans="1:1" x14ac:dyDescent="0.25">
      <c r="A283" t="s">
        <v>58</v>
      </c>
    </row>
    <row r="285" spans="1:1" x14ac:dyDescent="0.25">
      <c r="A285" t="s">
        <v>154</v>
      </c>
    </row>
    <row r="287" spans="1:1" x14ac:dyDescent="0.25">
      <c r="A287" t="s">
        <v>9</v>
      </c>
    </row>
    <row r="289" spans="1:1" x14ac:dyDescent="0.25">
      <c r="A289" s="12" t="s">
        <v>356</v>
      </c>
    </row>
    <row r="291" spans="1:1" x14ac:dyDescent="0.25">
      <c r="A291" t="s">
        <v>317</v>
      </c>
    </row>
    <row r="292" spans="1:1" x14ac:dyDescent="0.25">
      <c r="A292" t="s">
        <v>318</v>
      </c>
    </row>
    <row r="293" spans="1:1" x14ac:dyDescent="0.25">
      <c r="A293" t="s">
        <v>319</v>
      </c>
    </row>
    <row r="294" spans="1:1" x14ac:dyDescent="0.25">
      <c r="A294" t="s">
        <v>357</v>
      </c>
    </row>
    <row r="296" spans="1:1" x14ac:dyDescent="0.25">
      <c r="A296" t="s">
        <v>321</v>
      </c>
    </row>
    <row r="298" spans="1:1" x14ac:dyDescent="0.25">
      <c r="A298" t="s">
        <v>322</v>
      </c>
    </row>
    <row r="299" spans="1:1" x14ac:dyDescent="0.25">
      <c r="A299" t="s">
        <v>323</v>
      </c>
    </row>
    <row r="301" spans="1:1" x14ac:dyDescent="0.25">
      <c r="A301" t="s">
        <v>324</v>
      </c>
    </row>
    <row r="302" spans="1:1" x14ac:dyDescent="0.25">
      <c r="A302" t="s">
        <v>325</v>
      </c>
    </row>
    <row r="303" spans="1:1" x14ac:dyDescent="0.25">
      <c r="A303" t="s">
        <v>326</v>
      </c>
    </row>
    <row r="304" spans="1:1" x14ac:dyDescent="0.25">
      <c r="A304" t="s">
        <v>327</v>
      </c>
    </row>
    <row r="306" spans="1:1" x14ac:dyDescent="0.25">
      <c r="A306" t="s">
        <v>328</v>
      </c>
    </row>
    <row r="307" spans="1:1" x14ac:dyDescent="0.25">
      <c r="A307" t="s">
        <v>329</v>
      </c>
    </row>
    <row r="308" spans="1:1" x14ac:dyDescent="0.25">
      <c r="A308" t="s">
        <v>330</v>
      </c>
    </row>
    <row r="310" spans="1:1" x14ac:dyDescent="0.25">
      <c r="A310" t="s">
        <v>331</v>
      </c>
    </row>
    <row r="311" spans="1:1" x14ac:dyDescent="0.25">
      <c r="A311" t="s">
        <v>332</v>
      </c>
    </row>
    <row r="312" spans="1:1" x14ac:dyDescent="0.25">
      <c r="A312" t="s">
        <v>58</v>
      </c>
    </row>
    <row r="314" spans="1:1" x14ac:dyDescent="0.25">
      <c r="A314" t="s">
        <v>333</v>
      </c>
    </row>
    <row r="315" spans="1:1" x14ac:dyDescent="0.25">
      <c r="A315" t="s">
        <v>332</v>
      </c>
    </row>
    <row r="316" spans="1:1" x14ac:dyDescent="0.25">
      <c r="A316" t="s">
        <v>58</v>
      </c>
    </row>
    <row r="318" spans="1:1" x14ac:dyDescent="0.25">
      <c r="A318" t="s">
        <v>334</v>
      </c>
    </row>
    <row r="320" spans="1:1" x14ac:dyDescent="0.25">
      <c r="A320" t="s">
        <v>335</v>
      </c>
    </row>
    <row r="322" spans="1:1" x14ac:dyDescent="0.25">
      <c r="A322" t="s">
        <v>336</v>
      </c>
    </row>
    <row r="323" spans="1:1" x14ac:dyDescent="0.25">
      <c r="A323" t="s">
        <v>337</v>
      </c>
    </row>
    <row r="325" spans="1:1" x14ac:dyDescent="0.25">
      <c r="A325" t="s">
        <v>197</v>
      </c>
    </row>
    <row r="326" spans="1:1" x14ac:dyDescent="0.25">
      <c r="A326" t="s">
        <v>144</v>
      </c>
    </row>
    <row r="329" spans="1:1" x14ac:dyDescent="0.25">
      <c r="A329" t="s">
        <v>338</v>
      </c>
    </row>
    <row r="330" spans="1:1" x14ac:dyDescent="0.25">
      <c r="A330" t="s">
        <v>339</v>
      </c>
    </row>
    <row r="331" spans="1:1" x14ac:dyDescent="0.25">
      <c r="A331" t="s">
        <v>340</v>
      </c>
    </row>
    <row r="332" spans="1:1" x14ac:dyDescent="0.25">
      <c r="A332" t="s">
        <v>358</v>
      </c>
    </row>
    <row r="333" spans="1:1" x14ac:dyDescent="0.25">
      <c r="A333" t="s">
        <v>341</v>
      </c>
    </row>
    <row r="334" spans="1:1" x14ac:dyDescent="0.25">
      <c r="A334" t="s">
        <v>342</v>
      </c>
    </row>
    <row r="335" spans="1:1" x14ac:dyDescent="0.25">
      <c r="A335" t="s">
        <v>343</v>
      </c>
    </row>
    <row r="336" spans="1:1" x14ac:dyDescent="0.25">
      <c r="A336" t="s">
        <v>344</v>
      </c>
    </row>
    <row r="337" spans="1:1" x14ac:dyDescent="0.25">
      <c r="A337" t="s">
        <v>359</v>
      </c>
    </row>
    <row r="338" spans="1:1" x14ac:dyDescent="0.25">
      <c r="A338" t="s">
        <v>360</v>
      </c>
    </row>
    <row r="339" spans="1:1" x14ac:dyDescent="0.25">
      <c r="A339" t="s">
        <v>361</v>
      </c>
    </row>
    <row r="340" spans="1:1" x14ac:dyDescent="0.25">
      <c r="A340" t="s">
        <v>342</v>
      </c>
    </row>
    <row r="341" spans="1:1" x14ac:dyDescent="0.25">
      <c r="A341" t="s">
        <v>343</v>
      </c>
    </row>
    <row r="342" spans="1:1" x14ac:dyDescent="0.25">
      <c r="A342" t="s">
        <v>344</v>
      </c>
    </row>
    <row r="343" spans="1:1" x14ac:dyDescent="0.25">
      <c r="A343" t="s">
        <v>54</v>
      </c>
    </row>
    <row r="344" spans="1:1" x14ac:dyDescent="0.25">
      <c r="A344" t="s">
        <v>362</v>
      </c>
    </row>
    <row r="345" spans="1:1" x14ac:dyDescent="0.25">
      <c r="A345" t="s">
        <v>345</v>
      </c>
    </row>
    <row r="346" spans="1:1" x14ac:dyDescent="0.25">
      <c r="A346" t="s">
        <v>342</v>
      </c>
    </row>
    <row r="347" spans="1:1" x14ac:dyDescent="0.25">
      <c r="A347" t="s">
        <v>343</v>
      </c>
    </row>
    <row r="348" spans="1:1" x14ac:dyDescent="0.25">
      <c r="A348" t="s">
        <v>344</v>
      </c>
    </row>
    <row r="349" spans="1:1" x14ac:dyDescent="0.25">
      <c r="A349" t="s">
        <v>209</v>
      </c>
    </row>
    <row r="350" spans="1:1" x14ac:dyDescent="0.25">
      <c r="A350" t="s">
        <v>210</v>
      </c>
    </row>
    <row r="352" spans="1:1" x14ac:dyDescent="0.25">
      <c r="A352" t="s">
        <v>346</v>
      </c>
    </row>
    <row r="353" spans="1:1" x14ac:dyDescent="0.25">
      <c r="A353" t="s">
        <v>347</v>
      </c>
    </row>
    <row r="355" spans="1:1" x14ac:dyDescent="0.25">
      <c r="A355" t="s">
        <v>348</v>
      </c>
    </row>
    <row r="356" spans="1:1" x14ac:dyDescent="0.25">
      <c r="A356" t="s">
        <v>363</v>
      </c>
    </row>
    <row r="357" spans="1:1" x14ac:dyDescent="0.25">
      <c r="A357" t="s">
        <v>350</v>
      </c>
    </row>
    <row r="359" spans="1:1" x14ac:dyDescent="0.25">
      <c r="A359" t="s">
        <v>351</v>
      </c>
    </row>
    <row r="361" spans="1:1" x14ac:dyDescent="0.25">
      <c r="A361" t="s">
        <v>352</v>
      </c>
    </row>
    <row r="362" spans="1:1" x14ac:dyDescent="0.25">
      <c r="A362" t="s">
        <v>353</v>
      </c>
    </row>
    <row r="364" spans="1:1" x14ac:dyDescent="0.25">
      <c r="A364" s="54" t="s">
        <v>404</v>
      </c>
    </row>
    <row r="365" spans="1:1" x14ac:dyDescent="0.25">
      <c r="A365" t="s">
        <v>331</v>
      </c>
    </row>
    <row r="366" spans="1:1" x14ac:dyDescent="0.25">
      <c r="A366" t="s">
        <v>354</v>
      </c>
    </row>
    <row r="367" spans="1:1" x14ac:dyDescent="0.25">
      <c r="A367" t="s">
        <v>58</v>
      </c>
    </row>
    <row r="369" spans="1:1" x14ac:dyDescent="0.25">
      <c r="A369" t="s">
        <v>333</v>
      </c>
    </row>
    <row r="370" spans="1:1" x14ac:dyDescent="0.25">
      <c r="A370" t="s">
        <v>364</v>
      </c>
    </row>
    <row r="371" spans="1:1" x14ac:dyDescent="0.25">
      <c r="A371" t="s">
        <v>58</v>
      </c>
    </row>
    <row r="373" spans="1:1" x14ac:dyDescent="0.25">
      <c r="A373" t="s">
        <v>154</v>
      </c>
    </row>
    <row r="375" spans="1:1" x14ac:dyDescent="0.25">
      <c r="A375" t="s">
        <v>9</v>
      </c>
    </row>
    <row r="377" spans="1:1" x14ac:dyDescent="0.25">
      <c r="A377" s="12" t="s">
        <v>365</v>
      </c>
    </row>
    <row r="379" spans="1:1" x14ac:dyDescent="0.25">
      <c r="A379" t="s">
        <v>366</v>
      </c>
    </row>
    <row r="380" spans="1:1" x14ac:dyDescent="0.25">
      <c r="A380" t="s">
        <v>367</v>
      </c>
    </row>
    <row r="381" spans="1:1" x14ac:dyDescent="0.25">
      <c r="A381" t="s">
        <v>368</v>
      </c>
    </row>
    <row r="383" spans="1:1" x14ac:dyDescent="0.25">
      <c r="A383" t="s">
        <v>369</v>
      </c>
    </row>
    <row r="385" spans="1:1" x14ac:dyDescent="0.25">
      <c r="A385" t="s">
        <v>127</v>
      </c>
    </row>
    <row r="386" spans="1:1" x14ac:dyDescent="0.25">
      <c r="A386" t="s">
        <v>370</v>
      </c>
    </row>
    <row r="388" spans="1:1" x14ac:dyDescent="0.25">
      <c r="A388" t="s">
        <v>371</v>
      </c>
    </row>
    <row r="390" spans="1:1" x14ac:dyDescent="0.25">
      <c r="A390" t="s">
        <v>372</v>
      </c>
    </row>
    <row r="391" spans="1:1" x14ac:dyDescent="0.25">
      <c r="A391" t="s">
        <v>373</v>
      </c>
    </row>
    <row r="393" spans="1:1" x14ac:dyDescent="0.25">
      <c r="A393" t="s">
        <v>374</v>
      </c>
    </row>
    <row r="394" spans="1:1" x14ac:dyDescent="0.25">
      <c r="A394" t="s">
        <v>375</v>
      </c>
    </row>
    <row r="395" spans="1:1" x14ac:dyDescent="0.25">
      <c r="A395" t="s">
        <v>376</v>
      </c>
    </row>
    <row r="396" spans="1:1" x14ac:dyDescent="0.25">
      <c r="A396" t="s">
        <v>377</v>
      </c>
    </row>
    <row r="397" spans="1:1" x14ac:dyDescent="0.25">
      <c r="A397" t="s">
        <v>378</v>
      </c>
    </row>
    <row r="398" spans="1:1" x14ac:dyDescent="0.25">
      <c r="A398" t="s">
        <v>379</v>
      </c>
    </row>
    <row r="399" spans="1:1" x14ac:dyDescent="0.25">
      <c r="A399" t="s">
        <v>380</v>
      </c>
    </row>
    <row r="401" spans="1:1" x14ac:dyDescent="0.25">
      <c r="A401" t="s">
        <v>197</v>
      </c>
    </row>
    <row r="402" spans="1:1" x14ac:dyDescent="0.25">
      <c r="A402" t="s">
        <v>381</v>
      </c>
    </row>
    <row r="404" spans="1:1" x14ac:dyDescent="0.25">
      <c r="A404" t="s">
        <v>382</v>
      </c>
    </row>
    <row r="405" spans="1:1" x14ac:dyDescent="0.25">
      <c r="A405" t="s">
        <v>383</v>
      </c>
    </row>
    <row r="406" spans="1:1" x14ac:dyDescent="0.25">
      <c r="A406" t="s">
        <v>384</v>
      </c>
    </row>
    <row r="407" spans="1:1" x14ac:dyDescent="0.25">
      <c r="A407" t="s">
        <v>385</v>
      </c>
    </row>
    <row r="408" spans="1:1" x14ac:dyDescent="0.25">
      <c r="A408" t="s">
        <v>386</v>
      </c>
    </row>
    <row r="409" spans="1:1" x14ac:dyDescent="0.25">
      <c r="A409" t="s">
        <v>387</v>
      </c>
    </row>
    <row r="410" spans="1:1" x14ac:dyDescent="0.25">
      <c r="A410" t="s">
        <v>388</v>
      </c>
    </row>
    <row r="411" spans="1:1" x14ac:dyDescent="0.25">
      <c r="A411" t="s">
        <v>389</v>
      </c>
    </row>
    <row r="412" spans="1:1" x14ac:dyDescent="0.25">
      <c r="A412" t="s">
        <v>390</v>
      </c>
    </row>
    <row r="413" spans="1:1" x14ac:dyDescent="0.25">
      <c r="A413" t="s">
        <v>391</v>
      </c>
    </row>
    <row r="414" spans="1:1" x14ac:dyDescent="0.25">
      <c r="A414" t="s">
        <v>392</v>
      </c>
    </row>
    <row r="415" spans="1:1" x14ac:dyDescent="0.25">
      <c r="A415" t="s">
        <v>393</v>
      </c>
    </row>
    <row r="416" spans="1:1" x14ac:dyDescent="0.25">
      <c r="A416" t="s">
        <v>394</v>
      </c>
    </row>
    <row r="417" spans="1:1" x14ac:dyDescent="0.25">
      <c r="A417" t="s">
        <v>57</v>
      </c>
    </row>
    <row r="418" spans="1:1" x14ac:dyDescent="0.25">
      <c r="A418" t="s">
        <v>395</v>
      </c>
    </row>
    <row r="419" spans="1:1" x14ac:dyDescent="0.25">
      <c r="A419" t="s">
        <v>396</v>
      </c>
    </row>
    <row r="420" spans="1:1" x14ac:dyDescent="0.25">
      <c r="A420" t="s">
        <v>397</v>
      </c>
    </row>
    <row r="421" spans="1:1" x14ac:dyDescent="0.25">
      <c r="A421" t="s">
        <v>398</v>
      </c>
    </row>
    <row r="422" spans="1:1" x14ac:dyDescent="0.25">
      <c r="A422" t="s">
        <v>399</v>
      </c>
    </row>
    <row r="423" spans="1:1" x14ac:dyDescent="0.25">
      <c r="A423" t="s">
        <v>209</v>
      </c>
    </row>
    <row r="424" spans="1:1" x14ac:dyDescent="0.25">
      <c r="A424" t="s">
        <v>204</v>
      </c>
    </row>
    <row r="425" spans="1:1" x14ac:dyDescent="0.25">
      <c r="A425" t="s">
        <v>400</v>
      </c>
    </row>
    <row r="426" spans="1:1" x14ac:dyDescent="0.25">
      <c r="A426" t="s">
        <v>401</v>
      </c>
    </row>
    <row r="427" spans="1:1" x14ac:dyDescent="0.25">
      <c r="A427" t="s">
        <v>57</v>
      </c>
    </row>
    <row r="428" spans="1:1" x14ac:dyDescent="0.25">
      <c r="A428" t="s">
        <v>210</v>
      </c>
    </row>
    <row r="430" spans="1:1" x14ac:dyDescent="0.25">
      <c r="A430" t="s">
        <v>402</v>
      </c>
    </row>
    <row r="432" spans="1:1" x14ac:dyDescent="0.25">
      <c r="A432" t="s">
        <v>403</v>
      </c>
    </row>
    <row r="434" spans="1:1" x14ac:dyDescent="0.25">
      <c r="A434" t="s">
        <v>154</v>
      </c>
    </row>
    <row r="436" spans="1:1" x14ac:dyDescent="0.25">
      <c r="A436" t="s">
        <v>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Intro Sheet</vt:lpstr>
      <vt:lpstr>LV28_If_Then</vt:lpstr>
      <vt:lpstr>LV29_If_Else_Taxes</vt:lpstr>
      <vt:lpstr>LV30_ForLoop_Column</vt:lpstr>
      <vt:lpstr>LV31_Odd_Sum_Loop</vt:lpstr>
      <vt:lpstr>LV32a2_MacL_ATan</vt:lpstr>
      <vt:lpstr>Exercise 5.14</vt:lpstr>
      <vt:lpstr>Exercise 5.15</vt:lpstr>
      <vt:lpstr>Assignment_3</vt:lpstr>
      <vt:lpstr>Assignment_4</vt:lpstr>
      <vt:lpstr>Assignment_5</vt:lpstr>
      <vt:lpstr>Assignment_6b</vt:lpstr>
      <vt:lpstr>Assignment_6c</vt:lpstr>
      <vt:lpstr>Textbook_7.2</vt:lpstr>
      <vt:lpstr>Macro Dump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Stefan Cline</dc:creator>
  <cp:lastModifiedBy>Stefan Cline</cp:lastModifiedBy>
  <dcterms:created xsi:type="dcterms:W3CDTF">2020-09-03T22:31:18Z</dcterms:created>
  <dcterms:modified xsi:type="dcterms:W3CDTF">2020-10-11T03:55:59Z</dcterms:modified>
</cp:coreProperties>
</file>